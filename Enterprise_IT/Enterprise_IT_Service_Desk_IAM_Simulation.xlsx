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User_Access_Requests" sheetId="3" state="visible" r:id="rId3"/>
    <sheet xmlns:r="http://schemas.openxmlformats.org/officeDocument/2006/relationships" name="Escalation_Cases" sheetId="4" state="visible" r:id="rId4"/>
    <sheet xmlns:r="http://schemas.openxmlformats.org/officeDocument/2006/relationships" name="Knowledge_Base" sheetId="5" state="visible" r:id="rId5"/>
    <sheet xmlns:r="http://schemas.openxmlformats.org/officeDocument/2006/relationships" name="SLA_Dashboard" sheetId="6" state="visible" r:id="rId6"/>
  </sheets>
  <definedNames>
    <definedName name="_xlnm._FilterDatabase" localSheetId="1" hidden="1">'Tickets'!$A$1:$V$201</definedName>
    <definedName name="_xlnm._FilterDatabase" localSheetId="2" hidden="1">'User_Access_Requests'!$A$1:$N$81</definedName>
    <definedName name="_xlnm._FilterDatabase" localSheetId="3" hidden="1">'Escalation_Cases'!$A$1:$K$39</definedName>
    <definedName name="_xlnm._FilterDatabase" localSheetId="4" hidden="1">'Knowledge_Base'!$A$1:$H$23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 hh:mm"/>
    <numFmt numFmtId="166" formatCode="0.0%"/>
    <numFmt numFmtId="167" formatCode="0.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1F4E78"/>
    </font>
    <font>
      <b val="1"/>
    </font>
    <font>
      <b val="1"/>
      <color rgb="00FFFFFF"/>
    </font>
    <font>
      <color rgb="00000000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EAF3FA"/>
      </patternFill>
    </fill>
    <fill>
      <patternFill patternType="solid">
        <fgColor rgb="001F4E78"/>
      </patternFill>
    </fill>
    <fill>
      <patternFill patternType="solid">
        <fgColor rgb="00D9ED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3" fillId="0" borderId="0" pivotButton="0" quotePrefix="0" xfId="0"/>
    <xf numFmtId="0" fontId="3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166" fontId="6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Priority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'SLA_Dashboard'!$D$4:$D$6</f>
            </numRef>
          </cat>
          <val>
            <numRef>
              <f>'SLA_Dashboard'!$E$4:$E$6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'SLA_Dashboard'!$D$9:$D$13</f>
            </numRef>
          </cat>
          <val>
            <numRef>
              <f>'SLA_Dashboard'!$E$9:$E$13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'SLA_Dashboard'!$G$4:$G$7</f>
            </numRef>
          </cat>
          <val>
            <numRef>
              <f>'SLA_Dashboard'!$H$4:$H$7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Enterprise IT Service Desk &amp; Identity Access Management Simulation</t>
        </is>
      </c>
    </row>
    <row r="2">
      <c r="A2" s="2" t="inlineStr">
        <is>
          <t>(ServiceNow | Active Directory | Azure AD | Okta | Intune | IT Support)</t>
        </is>
      </c>
    </row>
    <row r="3"/>
    <row r="4">
      <c r="A4" s="3" t="inlineStr">
        <is>
          <t>Project Purpose</t>
        </is>
      </c>
      <c r="B4" s="4" t="inlineStr">
        <is>
          <t>Simulates a real company L1 service desk environment covering incidents, access requests, authentication issues, endpoint compliance checks, escalations, SLA tracking, and knowledge-base documentation.</t>
        </is>
      </c>
    </row>
    <row r="5">
      <c r="A5" s="4" t="n"/>
      <c r="B5" s="4" t="n"/>
    </row>
    <row r="6">
      <c r="A6" s="5" t="inlineStr">
        <is>
          <t>Workbook Contents</t>
        </is>
      </c>
      <c r="B6" s="4" t="n"/>
    </row>
    <row r="7">
      <c r="A7" s="6" t="inlineStr">
        <is>
          <t>Tickets</t>
        </is>
      </c>
      <c r="B7" s="4" t="inlineStr">
        <is>
          <t>200 simulated incidents with categories, priorities, SLA targets, escalations, and resolutions.</t>
        </is>
      </c>
    </row>
    <row r="8">
      <c r="A8" s="6" t="inlineStr">
        <is>
          <t>User_Access_Requests</t>
        </is>
      </c>
      <c r="B8" s="4" t="inlineStr">
        <is>
          <t>80 onboarding/offboarding and access-management requests mapped to AD, Azure AD, Okta, SharePoint, and VPN.</t>
        </is>
      </c>
    </row>
    <row r="9">
      <c r="A9" s="6" t="inlineStr">
        <is>
          <t>Escalation_Cases</t>
        </is>
      </c>
      <c r="B9" s="4" t="inlineStr">
        <is>
          <t>Subset of complex incidents escalated to L2/L3 teams with business impact and handoff notes.</t>
        </is>
      </c>
    </row>
    <row r="10">
      <c r="A10" s="6" t="inlineStr">
        <is>
          <t>Knowledge_Base</t>
        </is>
      </c>
      <c r="B10" s="4" t="inlineStr">
        <is>
          <t>22 common L1 solutions for first-call resolution and self-service support.</t>
        </is>
      </c>
    </row>
    <row r="11">
      <c r="A11" s="6" t="inlineStr">
        <is>
          <t>SLA_Dashboard</t>
        </is>
      </c>
      <c r="B11" s="4" t="inlineStr">
        <is>
          <t>Formula-driven KPI sheet with charts for SLA, priority mix, category mix, and FCR.</t>
        </is>
      </c>
    </row>
    <row r="12">
      <c r="A12" s="4" t="n"/>
      <c r="B12" s="4" t="n"/>
    </row>
    <row r="13">
      <c r="A13" s="4" t="n"/>
      <c r="B13" s="4" t="n"/>
    </row>
    <row r="14">
      <c r="A14" s="5" t="inlineStr">
        <is>
          <t>Mapped Job Requirements</t>
        </is>
      </c>
      <c r="B14" s="4" t="n"/>
    </row>
    <row r="15">
      <c r="A15" s="6" t="inlineStr">
        <is>
          <t>Incident logging &amp; ticket handling</t>
        </is>
      </c>
      <c r="B15" s="4" t="inlineStr">
        <is>
          <t>Tickets / SLA_Dashboard</t>
        </is>
      </c>
    </row>
    <row r="16">
      <c r="A16" s="6" t="inlineStr">
        <is>
          <t>User lifecycle operations</t>
        </is>
      </c>
      <c r="B16" s="4" t="inlineStr">
        <is>
          <t>User_Access_Requests</t>
        </is>
      </c>
    </row>
    <row r="17">
      <c r="A17" s="6" t="inlineStr">
        <is>
          <t>Active Directory / Azure AD support</t>
        </is>
      </c>
      <c r="B17" s="4" t="inlineStr">
        <is>
          <t>Tickets / User_Access_Requests</t>
        </is>
      </c>
    </row>
    <row r="18">
      <c r="A18" s="6" t="inlineStr">
        <is>
          <t>Okta MFA &amp; access troubleshooting</t>
        </is>
      </c>
      <c r="B18" s="4" t="inlineStr">
        <is>
          <t>Tickets / Knowledge_Base</t>
        </is>
      </c>
    </row>
    <row r="19">
      <c r="A19" s="6" t="inlineStr">
        <is>
          <t>ServiceNow-style ticket lifecycle</t>
        </is>
      </c>
      <c r="B19" s="4" t="inlineStr">
        <is>
          <t>Tickets / Escalation_Cases</t>
        </is>
      </c>
    </row>
    <row r="20">
      <c r="A20" s="6" t="inlineStr">
        <is>
          <t>SharePoint / VPN / Office / Teams issues</t>
        </is>
      </c>
      <c r="B20" s="4" t="inlineStr">
        <is>
          <t>Tickets / Knowledge_Base</t>
        </is>
      </c>
    </row>
    <row r="21">
      <c r="A21" s="6" t="inlineStr">
        <is>
          <t>Intune compliance monitoring</t>
        </is>
      </c>
      <c r="B21" s="4" t="inlineStr">
        <is>
          <t>Tickets / Knowledge_Base</t>
        </is>
      </c>
    </row>
    <row r="22">
      <c r="A22" s="6" t="inlineStr">
        <is>
          <t>Documentation / SOP / KB creation</t>
        </is>
      </c>
      <c r="B22" s="4" t="inlineStr">
        <is>
          <t>Knowledge_Base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0" customWidth="1" min="4" max="4"/>
    <col width="10" customWidth="1" min="5" max="5"/>
    <col width="18" customWidth="1" min="6" max="6"/>
    <col width="12" customWidth="1" min="7" max="7"/>
    <col width="38" customWidth="1" min="8" max="8"/>
    <col width="12" customWidth="1" min="9" max="9"/>
    <col width="18" customWidth="1" min="10" max="10"/>
    <col width="17" customWidth="1" min="11" max="11"/>
    <col width="10" customWidth="1" min="12" max="12"/>
    <col width="22" customWidth="1" min="13" max="13"/>
    <col width="11" customWidth="1" min="14" max="14"/>
    <col width="12" customWidth="1" min="15" max="15"/>
    <col width="16" customWidth="1" min="16" max="16"/>
    <col width="18" customWidth="1" min="17" max="17"/>
    <col width="15" customWidth="1" min="18" max="18"/>
    <col width="12" customWidth="1" min="19" max="19"/>
    <col width="28" customWidth="1" min="20" max="20"/>
    <col width="42" customWidth="1" min="21" max="21"/>
    <col width="8" customWidth="1" min="22" max="22"/>
  </cols>
  <sheetData>
    <row r="1">
      <c r="A1" s="7" t="inlineStr">
        <is>
          <t>Ticket ID</t>
        </is>
      </c>
      <c r="B1" s="7" t="inlineStr">
        <is>
          <t>Opened Date</t>
        </is>
      </c>
      <c r="C1" s="7" t="inlineStr">
        <is>
          <t>Channel</t>
        </is>
      </c>
      <c r="D1" s="7" t="inlineStr">
        <is>
          <t>End User</t>
        </is>
      </c>
      <c r="E1" s="7" t="inlineStr">
        <is>
          <t>Region</t>
        </is>
      </c>
      <c r="F1" s="7" t="inlineStr">
        <is>
          <t>Department</t>
        </is>
      </c>
      <c r="G1" s="7" t="inlineStr">
        <is>
          <t>Device Type</t>
        </is>
      </c>
      <c r="H1" s="7" t="inlineStr">
        <is>
          <t>Issue Summary</t>
        </is>
      </c>
      <c r="I1" s="7" t="inlineStr">
        <is>
          <t>Category</t>
        </is>
      </c>
      <c r="J1" s="7" t="inlineStr">
        <is>
          <t>Subcategory</t>
        </is>
      </c>
      <c r="K1" s="7" t="inlineStr">
        <is>
          <t>Primary Tool</t>
        </is>
      </c>
      <c r="L1" s="7" t="inlineStr">
        <is>
          <t>Priority</t>
        </is>
      </c>
      <c r="M1" s="7" t="inlineStr">
        <is>
          <t>Assigned Group</t>
        </is>
      </c>
      <c r="N1" s="7" t="inlineStr">
        <is>
          <t>Escalated</t>
        </is>
      </c>
      <c r="O1" s="7" t="inlineStr">
        <is>
          <t>Status</t>
        </is>
      </c>
      <c r="P1" s="7" t="inlineStr">
        <is>
          <t>Response Time (hrs)</t>
        </is>
      </c>
      <c r="Q1" s="7" t="inlineStr">
        <is>
          <t>Resolution Time (hrs)</t>
        </is>
      </c>
      <c r="R1" s="7" t="inlineStr">
        <is>
          <t>SLA Target (hrs)</t>
        </is>
      </c>
      <c r="S1" s="7" t="inlineStr">
        <is>
          <t>Within SLA</t>
        </is>
      </c>
      <c r="T1" s="7" t="inlineStr">
        <is>
          <t>Root Cause</t>
        </is>
      </c>
      <c r="U1" s="7" t="inlineStr">
        <is>
          <t>Resolution Notes</t>
        </is>
      </c>
      <c r="V1" s="7" t="inlineStr">
        <is>
          <t>FCR</t>
        </is>
      </c>
    </row>
    <row r="2">
      <c r="A2" s="8" t="inlineStr">
        <is>
          <t>INC100000</t>
        </is>
      </c>
      <c r="B2" s="9" t="n">
        <v>46060.625</v>
      </c>
      <c r="C2" s="8" t="inlineStr">
        <is>
          <t>Phone</t>
        </is>
      </c>
      <c r="D2" s="8" t="inlineStr">
        <is>
          <t>Lavanya Iyer</t>
        </is>
      </c>
      <c r="E2" s="8" t="inlineStr">
        <is>
          <t>UK</t>
        </is>
      </c>
      <c r="F2" s="8" t="inlineStr">
        <is>
          <t>Sales</t>
        </is>
      </c>
      <c r="G2" s="8" t="inlineStr">
        <is>
          <t>Laptop</t>
        </is>
      </c>
      <c r="H2" s="8" t="inlineStr">
        <is>
          <t>Need creation of new user account for onboarding</t>
        </is>
      </c>
      <c r="I2" s="8" t="inlineStr">
        <is>
          <t>Access</t>
        </is>
      </c>
      <c r="J2" s="8" t="inlineStr">
        <is>
          <t>User Creation</t>
        </is>
      </c>
      <c r="K2" s="8" t="inlineStr">
        <is>
          <t>Azure AD</t>
        </is>
      </c>
      <c r="L2" s="8" t="inlineStr">
        <is>
          <t>High</t>
        </is>
      </c>
      <c r="M2" s="8" t="inlineStr">
        <is>
          <t>L1 Service Desk</t>
        </is>
      </c>
      <c r="N2" s="8" t="inlineStr">
        <is>
          <t>No</t>
        </is>
      </c>
      <c r="O2" s="8" t="inlineStr">
        <is>
          <t>Resolved</t>
        </is>
      </c>
      <c r="P2" s="10" t="n">
        <v>1</v>
      </c>
      <c r="Q2" s="10" t="n">
        <v>3.6</v>
      </c>
      <c r="R2" s="10" t="n">
        <v>4</v>
      </c>
      <c r="S2" s="8">
        <f>IF(OR(O2="Open",O2="In Progress"),"Pending",IF(Q2&lt;=R2,"Yes","No"))</f>
        <v/>
      </c>
      <c r="T2" s="8" t="inlineStr">
        <is>
          <t>New hire onboarding</t>
        </is>
      </c>
      <c r="U2" s="8" t="inlineStr">
        <is>
          <t>Created account and assigned baseline groups</t>
        </is>
      </c>
      <c r="V2" s="8" t="inlineStr">
        <is>
          <t>No</t>
        </is>
      </c>
    </row>
    <row r="3">
      <c r="A3" s="8" t="inlineStr">
        <is>
          <t>INC100001</t>
        </is>
      </c>
      <c r="B3" s="9" t="n">
        <v>46067.02083333334</v>
      </c>
      <c r="C3" s="8" t="inlineStr">
        <is>
          <t>Chat</t>
        </is>
      </c>
      <c r="D3" s="8" t="inlineStr">
        <is>
          <t>Neha Mehta</t>
        </is>
      </c>
      <c r="E3" s="8" t="inlineStr">
        <is>
          <t>UK</t>
        </is>
      </c>
      <c r="F3" s="8" t="inlineStr">
        <is>
          <t>Sales</t>
        </is>
      </c>
      <c r="G3" s="8" t="inlineStr">
        <is>
          <t>Laptop</t>
        </is>
      </c>
      <c r="H3" s="8" t="inlineStr">
        <is>
          <t>SharePoint file sync failing on laptop</t>
        </is>
      </c>
      <c r="I3" s="8" t="inlineStr">
        <is>
          <t>Software</t>
        </is>
      </c>
      <c r="J3" s="8" t="inlineStr">
        <is>
          <t>Sync Issue</t>
        </is>
      </c>
      <c r="K3" s="8" t="inlineStr">
        <is>
          <t>SharePoint</t>
        </is>
      </c>
      <c r="L3" s="8" t="inlineStr">
        <is>
          <t>Medium</t>
        </is>
      </c>
      <c r="M3" s="8" t="inlineStr">
        <is>
          <t>L1 Collaboration Support</t>
        </is>
      </c>
      <c r="N3" s="8" t="inlineStr">
        <is>
          <t>Yes</t>
        </is>
      </c>
      <c r="O3" s="8" t="inlineStr">
        <is>
          <t>Resolved</t>
        </is>
      </c>
      <c r="P3" s="10" t="n">
        <v>1.4</v>
      </c>
      <c r="Q3" s="10" t="n">
        <v>3.3</v>
      </c>
      <c r="R3" s="10" t="n">
        <v>8</v>
      </c>
      <c r="S3" s="8">
        <f>IF(OR(O3="Open",O3="In Progress"),"Pending",IF(Q3&lt;=R3,"Yes","No"))</f>
        <v/>
      </c>
      <c r="T3" s="8" t="inlineStr">
        <is>
          <t>OneDrive sync conflict</t>
        </is>
      </c>
      <c r="U3" s="8" t="inlineStr">
        <is>
          <t>Reset sync client and re-linked library</t>
        </is>
      </c>
      <c r="V3" s="8" t="inlineStr">
        <is>
          <t>No</t>
        </is>
      </c>
    </row>
    <row r="4">
      <c r="A4" s="8" t="inlineStr">
        <is>
          <t>INC100002</t>
        </is>
      </c>
      <c r="B4" s="9" t="n">
        <v>46086.77083333334</v>
      </c>
      <c r="C4" s="8" t="inlineStr">
        <is>
          <t>Portal</t>
        </is>
      </c>
      <c r="D4" s="8" t="inlineStr">
        <is>
          <t>Priya Kumar</t>
        </is>
      </c>
      <c r="E4" s="8" t="inlineStr">
        <is>
          <t>India</t>
        </is>
      </c>
      <c r="F4" s="8" t="inlineStr">
        <is>
          <t>IT</t>
        </is>
      </c>
      <c r="G4" s="8" t="inlineStr">
        <is>
          <t>Desktop</t>
        </is>
      </c>
      <c r="H4" s="8" t="inlineStr">
        <is>
          <t>Need creation of new user account for onboarding</t>
        </is>
      </c>
      <c r="I4" s="8" t="inlineStr">
        <is>
          <t>Access</t>
        </is>
      </c>
      <c r="J4" s="8" t="inlineStr">
        <is>
          <t>User Creation</t>
        </is>
      </c>
      <c r="K4" s="8" t="inlineStr">
        <is>
          <t>Azure AD</t>
        </is>
      </c>
      <c r="L4" s="8" t="inlineStr">
        <is>
          <t>High</t>
        </is>
      </c>
      <c r="M4" s="8" t="inlineStr">
        <is>
          <t>L1 Service Desk</t>
        </is>
      </c>
      <c r="N4" s="8" t="inlineStr">
        <is>
          <t>No</t>
        </is>
      </c>
      <c r="O4" s="8" t="inlineStr">
        <is>
          <t>Resolved</t>
        </is>
      </c>
      <c r="P4" s="10" t="n">
        <v>0.3</v>
      </c>
      <c r="Q4" s="10" t="n">
        <v>3.4</v>
      </c>
      <c r="R4" s="10" t="n">
        <v>4</v>
      </c>
      <c r="S4" s="8">
        <f>IF(OR(O4="Open",O4="In Progress"),"Pending",IF(Q4&lt;=R4,"Yes","No"))</f>
        <v/>
      </c>
      <c r="T4" s="8" t="inlineStr">
        <is>
          <t>New hire onboarding</t>
        </is>
      </c>
      <c r="U4" s="8" t="inlineStr">
        <is>
          <t>Created account and assigned baseline groups</t>
        </is>
      </c>
      <c r="V4" s="8" t="inlineStr">
        <is>
          <t>No</t>
        </is>
      </c>
    </row>
    <row r="5">
      <c r="A5" s="8" t="inlineStr">
        <is>
          <t>INC100003</t>
        </is>
      </c>
      <c r="B5" s="9" t="n">
        <v>46070.94791666666</v>
      </c>
      <c r="C5" s="8" t="inlineStr">
        <is>
          <t>Email</t>
        </is>
      </c>
      <c r="D5" s="8" t="inlineStr">
        <is>
          <t>Sanjay Patel</t>
        </is>
      </c>
      <c r="E5" s="8" t="inlineStr">
        <is>
          <t>UK</t>
        </is>
      </c>
      <c r="F5" s="8" t="inlineStr">
        <is>
          <t>Operations</t>
        </is>
      </c>
      <c r="G5" s="8" t="inlineStr">
        <is>
          <t>iPhone</t>
        </is>
      </c>
      <c r="H5" s="8" t="inlineStr">
        <is>
          <t>OTP not received for sign-in verification</t>
        </is>
      </c>
      <c r="I5" s="8" t="inlineStr">
        <is>
          <t>Access</t>
        </is>
      </c>
      <c r="J5" s="8" t="inlineStr">
        <is>
          <t>OTP Failure</t>
        </is>
      </c>
      <c r="K5" s="8" t="inlineStr">
        <is>
          <t>Okta</t>
        </is>
      </c>
      <c r="L5" s="8" t="inlineStr">
        <is>
          <t>Medium</t>
        </is>
      </c>
      <c r="M5" s="8" t="inlineStr">
        <is>
          <t>L1 IAM Support</t>
        </is>
      </c>
      <c r="N5" s="8" t="inlineStr">
        <is>
          <t>No</t>
        </is>
      </c>
      <c r="O5" s="8" t="inlineStr">
        <is>
          <t>Closed</t>
        </is>
      </c>
      <c r="P5" s="10" t="n">
        <v>1.9</v>
      </c>
      <c r="Q5" s="10" t="n">
        <v>3.5</v>
      </c>
      <c r="R5" s="10" t="n">
        <v>8</v>
      </c>
      <c r="S5" s="8">
        <f>IF(OR(O5="Open",O5="In Progress"),"Pending",IF(Q5&lt;=R5,"Yes","No"))</f>
        <v/>
      </c>
      <c r="T5" s="8" t="inlineStr">
        <is>
          <t>Outdated phone number</t>
        </is>
      </c>
      <c r="U5" s="8" t="inlineStr">
        <is>
          <t>Updated factor settings and retried verification</t>
        </is>
      </c>
      <c r="V5" s="8" t="inlineStr">
        <is>
          <t>Yes</t>
        </is>
      </c>
    </row>
    <row r="6">
      <c r="A6" s="8" t="inlineStr">
        <is>
          <t>INC100004</t>
        </is>
      </c>
      <c r="B6" s="9" t="n">
        <v>46070.41666666666</v>
      </c>
      <c r="C6" s="8" t="inlineStr">
        <is>
          <t>Email</t>
        </is>
      </c>
      <c r="D6" s="8" t="inlineStr">
        <is>
          <t>Priya Rao</t>
        </is>
      </c>
      <c r="E6" s="8" t="inlineStr">
        <is>
          <t>India</t>
        </is>
      </c>
      <c r="F6" s="8" t="inlineStr">
        <is>
          <t>Operations</t>
        </is>
      </c>
      <c r="G6" s="8" t="inlineStr">
        <is>
          <t>iPad</t>
        </is>
      </c>
      <c r="H6" s="8" t="inlineStr">
        <is>
          <t>Teams login failure after password change</t>
        </is>
      </c>
      <c r="I6" s="8" t="inlineStr">
        <is>
          <t>Software</t>
        </is>
      </c>
      <c r="J6" s="8" t="inlineStr">
        <is>
          <t>Teams Login</t>
        </is>
      </c>
      <c r="K6" s="8" t="inlineStr">
        <is>
          <t>Microsoft Teams</t>
        </is>
      </c>
      <c r="L6" s="8" t="inlineStr">
        <is>
          <t>Low</t>
        </is>
      </c>
      <c r="M6" s="8" t="inlineStr">
        <is>
          <t>L1 Service Desk</t>
        </is>
      </c>
      <c r="N6" s="8" t="inlineStr">
        <is>
          <t>No</t>
        </is>
      </c>
      <c r="O6" s="8" t="inlineStr">
        <is>
          <t>Resolved</t>
        </is>
      </c>
      <c r="P6" s="10" t="n">
        <v>1.6</v>
      </c>
      <c r="Q6" s="10" t="n">
        <v>8.9</v>
      </c>
      <c r="R6" s="10" t="n">
        <v>16</v>
      </c>
      <c r="S6" s="8">
        <f>IF(OR(O6="Open",O6="In Progress"),"Pending",IF(Q6&lt;=R6,"Yes","No"))</f>
        <v/>
      </c>
      <c r="T6" s="8" t="inlineStr">
        <is>
          <t>Cached credentials mismatch</t>
        </is>
      </c>
      <c r="U6" s="8" t="inlineStr">
        <is>
          <t>Cleared Teams cache and reauthenticated</t>
        </is>
      </c>
      <c r="V6" s="8" t="inlineStr">
        <is>
          <t>Yes</t>
        </is>
      </c>
    </row>
    <row r="7">
      <c r="A7" s="8" t="inlineStr">
        <is>
          <t>INC100005</t>
        </is>
      </c>
      <c r="B7" s="9" t="n">
        <v>46074.14583333334</v>
      </c>
      <c r="C7" s="8" t="inlineStr">
        <is>
          <t>Email</t>
        </is>
      </c>
      <c r="D7" s="8" t="inlineStr">
        <is>
          <t>Ravi Reddy</t>
        </is>
      </c>
      <c r="E7" s="8" t="inlineStr">
        <is>
          <t>UK</t>
        </is>
      </c>
      <c r="F7" s="8" t="inlineStr">
        <is>
          <t>Customer Support</t>
        </is>
      </c>
      <c r="G7" s="8" t="inlineStr">
        <is>
          <t>iPad</t>
        </is>
      </c>
      <c r="H7" s="8" t="inlineStr">
        <is>
          <t>Outlook not opening on startup</t>
        </is>
      </c>
      <c r="I7" s="8" t="inlineStr">
        <is>
          <t>Software</t>
        </is>
      </c>
      <c r="J7" s="8" t="inlineStr">
        <is>
          <t>Outlook Issue</t>
        </is>
      </c>
      <c r="K7" s="8" t="inlineStr">
        <is>
          <t>Microsoft Office</t>
        </is>
      </c>
      <c r="L7" s="8" t="inlineStr">
        <is>
          <t>Low</t>
        </is>
      </c>
      <c r="M7" s="8" t="inlineStr">
        <is>
          <t>L1 Service Desk</t>
        </is>
      </c>
      <c r="N7" s="8" t="inlineStr">
        <is>
          <t>No</t>
        </is>
      </c>
      <c r="O7" s="8" t="inlineStr">
        <is>
          <t>Resolved</t>
        </is>
      </c>
      <c r="P7" s="10" t="n">
        <v>3.8</v>
      </c>
      <c r="Q7" s="10" t="n">
        <v>12.7</v>
      </c>
      <c r="R7" s="10" t="n">
        <v>16</v>
      </c>
      <c r="S7" s="8">
        <f>IF(OR(O7="Open",O7="In Progress"),"Pending",IF(Q7&lt;=R7,"Yes","No"))</f>
        <v/>
      </c>
      <c r="T7" s="8" t="inlineStr">
        <is>
          <t>Corrupt Office add-in</t>
        </is>
      </c>
      <c r="U7" s="8" t="inlineStr">
        <is>
          <t>Started in safe mode and repaired Office</t>
        </is>
      </c>
      <c r="V7" s="8" t="inlineStr">
        <is>
          <t>Yes</t>
        </is>
      </c>
    </row>
    <row r="8">
      <c r="A8" s="8" t="inlineStr">
        <is>
          <t>INC100006</t>
        </is>
      </c>
      <c r="B8" s="9" t="n">
        <v>46081.6875</v>
      </c>
      <c r="C8" s="8" t="inlineStr">
        <is>
          <t>Chat</t>
        </is>
      </c>
      <c r="D8" s="8" t="inlineStr">
        <is>
          <t>Manoj Singh</t>
        </is>
      </c>
      <c r="E8" s="8" t="inlineStr">
        <is>
          <t>US</t>
        </is>
      </c>
      <c r="F8" s="8" t="inlineStr">
        <is>
          <t>Operations</t>
        </is>
      </c>
      <c r="G8" s="8" t="inlineStr">
        <is>
          <t>Laptop</t>
        </is>
      </c>
      <c r="H8" s="8" t="inlineStr">
        <is>
          <t>Account needs disablement after employee exit</t>
        </is>
      </c>
      <c r="I8" s="8" t="inlineStr">
        <is>
          <t>Access</t>
        </is>
      </c>
      <c r="J8" s="8" t="inlineStr">
        <is>
          <t>Offboarding</t>
        </is>
      </c>
      <c r="K8" s="8" t="inlineStr">
        <is>
          <t>Active Directory</t>
        </is>
      </c>
      <c r="L8" s="8" t="inlineStr">
        <is>
          <t>High</t>
        </is>
      </c>
      <c r="M8" s="8" t="inlineStr">
        <is>
          <t>L1 Service Desk</t>
        </is>
      </c>
      <c r="N8" s="8" t="inlineStr">
        <is>
          <t>Yes</t>
        </is>
      </c>
      <c r="O8" s="8" t="inlineStr">
        <is>
          <t>Resolved</t>
        </is>
      </c>
      <c r="P8" s="10" t="n">
        <v>0.8</v>
      </c>
      <c r="Q8" s="10" t="n">
        <v>6.1</v>
      </c>
      <c r="R8" s="10" t="n">
        <v>4</v>
      </c>
      <c r="S8" s="8">
        <f>IF(OR(O8="Open",O8="In Progress"),"Pending",IF(Q8&lt;=R8,"Yes","No"))</f>
        <v/>
      </c>
      <c r="T8" s="8" t="inlineStr">
        <is>
          <t>Offboarding request received</t>
        </is>
      </c>
      <c r="U8" s="8" t="inlineStr">
        <is>
          <t>Disabled account and removed active sessions</t>
        </is>
      </c>
      <c r="V8" s="8" t="inlineStr">
        <is>
          <t>No</t>
        </is>
      </c>
    </row>
    <row r="9">
      <c r="A9" s="8" t="inlineStr">
        <is>
          <t>INC100007</t>
        </is>
      </c>
      <c r="B9" s="9" t="n">
        <v>46033.26041666666</v>
      </c>
      <c r="C9" s="8" t="inlineStr">
        <is>
          <t>Phone</t>
        </is>
      </c>
      <c r="D9" s="8" t="inlineStr">
        <is>
          <t>Tarun Reddy</t>
        </is>
      </c>
      <c r="E9" s="8" t="inlineStr">
        <is>
          <t>India</t>
        </is>
      </c>
      <c r="F9" s="8" t="inlineStr">
        <is>
          <t>Legal</t>
        </is>
      </c>
      <c r="G9" s="8" t="inlineStr">
        <is>
          <t>Thin Client</t>
        </is>
      </c>
      <c r="H9" s="8" t="inlineStr">
        <is>
          <t>System performance slow after updates</t>
        </is>
      </c>
      <c r="I9" s="8" t="inlineStr">
        <is>
          <t>Hardware</t>
        </is>
      </c>
      <c r="J9" s="8" t="inlineStr">
        <is>
          <t>Performance</t>
        </is>
      </c>
      <c r="K9" s="8" t="inlineStr">
        <is>
          <t>Windows</t>
        </is>
      </c>
      <c r="L9" s="8" t="inlineStr">
        <is>
          <t>Medium</t>
        </is>
      </c>
      <c r="M9" s="8" t="inlineStr">
        <is>
          <t>L1 Endpoint Support</t>
        </is>
      </c>
      <c r="N9" s="8" t="inlineStr">
        <is>
          <t>Yes</t>
        </is>
      </c>
      <c r="O9" s="8" t="inlineStr">
        <is>
          <t>Resolved</t>
        </is>
      </c>
      <c r="P9" s="10" t="n">
        <v>0.4</v>
      </c>
      <c r="Q9" s="10" t="n">
        <v>5.7</v>
      </c>
      <c r="R9" s="10" t="n">
        <v>8</v>
      </c>
      <c r="S9" s="8">
        <f>IF(OR(O9="Open",O9="In Progress"),"Pending",IF(Q9&lt;=R9,"Yes","No"))</f>
        <v/>
      </c>
      <c r="T9" s="8" t="inlineStr">
        <is>
          <t>High startup load</t>
        </is>
      </c>
      <c r="U9" s="8" t="inlineStr">
        <is>
          <t>Optimized startup items and ran health checks</t>
        </is>
      </c>
      <c r="V9" s="8" t="inlineStr">
        <is>
          <t>No</t>
        </is>
      </c>
    </row>
    <row r="10">
      <c r="A10" s="8" t="inlineStr">
        <is>
          <t>INC100008</t>
        </is>
      </c>
      <c r="B10" s="9" t="n">
        <v>46064.42708333334</v>
      </c>
      <c r="C10" s="8" t="inlineStr">
        <is>
          <t>Portal</t>
        </is>
      </c>
      <c r="D10" s="8" t="inlineStr">
        <is>
          <t>Lavanya Verma</t>
        </is>
      </c>
      <c r="E10" s="8" t="inlineStr">
        <is>
          <t>US</t>
        </is>
      </c>
      <c r="F10" s="8" t="inlineStr">
        <is>
          <t>Procurement</t>
        </is>
      </c>
      <c r="G10" s="8" t="inlineStr">
        <is>
          <t>iPhone</t>
        </is>
      </c>
      <c r="H10" s="8" t="inlineStr">
        <is>
          <t>Account needs disablement after employee exit</t>
        </is>
      </c>
      <c r="I10" s="8" t="inlineStr">
        <is>
          <t>Access</t>
        </is>
      </c>
      <c r="J10" s="8" t="inlineStr">
        <is>
          <t>Offboarding</t>
        </is>
      </c>
      <c r="K10" s="8" t="inlineStr">
        <is>
          <t>Active Directory</t>
        </is>
      </c>
      <c r="L10" s="8" t="inlineStr">
        <is>
          <t>Medium</t>
        </is>
      </c>
      <c r="M10" s="8" t="inlineStr">
        <is>
          <t>L1 Service Desk</t>
        </is>
      </c>
      <c r="N10" s="8" t="inlineStr">
        <is>
          <t>Yes</t>
        </is>
      </c>
      <c r="O10" s="8" t="inlineStr">
        <is>
          <t>Closed</t>
        </is>
      </c>
      <c r="P10" s="10" t="n">
        <v>1.2</v>
      </c>
      <c r="Q10" s="10" t="n">
        <v>9.5</v>
      </c>
      <c r="R10" s="10" t="n">
        <v>8</v>
      </c>
      <c r="S10" s="8">
        <f>IF(OR(O10="Open",O10="In Progress"),"Pending",IF(Q10&lt;=R10,"Yes","No"))</f>
        <v/>
      </c>
      <c r="T10" s="8" t="inlineStr">
        <is>
          <t>Offboarding request received</t>
        </is>
      </c>
      <c r="U10" s="8" t="inlineStr">
        <is>
          <t>Disabled account and removed active sessions</t>
        </is>
      </c>
      <c r="V10" s="8" t="inlineStr">
        <is>
          <t>No</t>
        </is>
      </c>
    </row>
    <row r="11">
      <c r="A11" s="8" t="inlineStr">
        <is>
          <t>INC100009</t>
        </is>
      </c>
      <c r="B11" s="9" t="n">
        <v>46078.51041666666</v>
      </c>
      <c r="C11" s="8" t="inlineStr">
        <is>
          <t>Phone</t>
        </is>
      </c>
      <c r="D11" s="8" t="inlineStr">
        <is>
          <t>Tarun Kumar</t>
        </is>
      </c>
      <c r="E11" s="8" t="inlineStr">
        <is>
          <t>India</t>
        </is>
      </c>
      <c r="F11" s="8" t="inlineStr">
        <is>
          <t>HR</t>
        </is>
      </c>
      <c r="G11" s="8" t="inlineStr">
        <is>
          <t>Desktop</t>
        </is>
      </c>
      <c r="H11" s="8" t="inlineStr">
        <is>
          <t>Printer not responding for shared queue</t>
        </is>
      </c>
      <c r="I11" s="8" t="inlineStr">
        <is>
          <t>Hardware</t>
        </is>
      </c>
      <c r="J11" s="8" t="inlineStr">
        <is>
          <t>Printer Issue</t>
        </is>
      </c>
      <c r="K11" s="8" t="inlineStr">
        <is>
          <t>Printer</t>
        </is>
      </c>
      <c r="L11" s="8" t="inlineStr">
        <is>
          <t>Medium</t>
        </is>
      </c>
      <c r="M11" s="8" t="inlineStr">
        <is>
          <t>L1 Endpoint Support</t>
        </is>
      </c>
      <c r="N11" s="8" t="inlineStr">
        <is>
          <t>No</t>
        </is>
      </c>
      <c r="O11" s="8" t="inlineStr">
        <is>
          <t>Resolved</t>
        </is>
      </c>
      <c r="P11" s="10" t="n">
        <v>2.3</v>
      </c>
      <c r="Q11" s="10" t="n">
        <v>9.6</v>
      </c>
      <c r="R11" s="10" t="n">
        <v>8</v>
      </c>
      <c r="S11" s="8">
        <f>IF(OR(O11="Open",O11="In Progress"),"Pending",IF(Q11&lt;=R11,"Yes","No"))</f>
        <v/>
      </c>
      <c r="T11" s="8" t="inlineStr">
        <is>
          <t>Driver / spooler issue</t>
        </is>
      </c>
      <c r="U11" s="8" t="inlineStr">
        <is>
          <t>Restarted spooler and reinstalled driver</t>
        </is>
      </c>
      <c r="V11" s="8" t="inlineStr">
        <is>
          <t>No</t>
        </is>
      </c>
    </row>
    <row r="12">
      <c r="A12" s="8" t="inlineStr">
        <is>
          <t>INC100010</t>
        </is>
      </c>
      <c r="B12" s="9" t="n">
        <v>46039.61458333334</v>
      </c>
      <c r="C12" s="8" t="inlineStr">
        <is>
          <t>Email</t>
        </is>
      </c>
      <c r="D12" s="8" t="inlineStr">
        <is>
          <t>Meera Verma</t>
        </is>
      </c>
      <c r="E12" s="8" t="inlineStr">
        <is>
          <t>APAC</t>
        </is>
      </c>
      <c r="F12" s="8" t="inlineStr">
        <is>
          <t>Customer Support</t>
        </is>
      </c>
      <c r="G12" s="8" t="inlineStr">
        <is>
          <t>Laptop</t>
        </is>
      </c>
      <c r="H12" s="8" t="inlineStr">
        <is>
          <t>OTP not received for sign-in verification</t>
        </is>
      </c>
      <c r="I12" s="8" t="inlineStr">
        <is>
          <t>Access</t>
        </is>
      </c>
      <c r="J12" s="8" t="inlineStr">
        <is>
          <t>OTP Failure</t>
        </is>
      </c>
      <c r="K12" s="8" t="inlineStr">
        <is>
          <t>Okta</t>
        </is>
      </c>
      <c r="L12" s="8" t="inlineStr">
        <is>
          <t>Medium</t>
        </is>
      </c>
      <c r="M12" s="8" t="inlineStr">
        <is>
          <t>L1 IAM Support</t>
        </is>
      </c>
      <c r="N12" s="8" t="inlineStr">
        <is>
          <t>No</t>
        </is>
      </c>
      <c r="O12" s="8" t="inlineStr">
        <is>
          <t>Resolved</t>
        </is>
      </c>
      <c r="P12" s="10" t="n">
        <v>1.7</v>
      </c>
      <c r="Q12" s="10" t="n">
        <v>3.1</v>
      </c>
      <c r="R12" s="10" t="n">
        <v>8</v>
      </c>
      <c r="S12" s="8">
        <f>IF(OR(O12="Open",O12="In Progress"),"Pending",IF(Q12&lt;=R12,"Yes","No"))</f>
        <v/>
      </c>
      <c r="T12" s="8" t="inlineStr">
        <is>
          <t>Outdated phone number</t>
        </is>
      </c>
      <c r="U12" s="8" t="inlineStr">
        <is>
          <t>Updated factor settings and retried verification</t>
        </is>
      </c>
      <c r="V12" s="8" t="inlineStr">
        <is>
          <t>Yes</t>
        </is>
      </c>
    </row>
    <row r="13">
      <c r="A13" s="8" t="inlineStr">
        <is>
          <t>INC100011</t>
        </is>
      </c>
      <c r="B13" s="9" t="n">
        <v>46062.6875</v>
      </c>
      <c r="C13" s="8" t="inlineStr">
        <is>
          <t>Portal</t>
        </is>
      </c>
      <c r="D13" s="8" t="inlineStr">
        <is>
          <t>Sneha Kumar</t>
        </is>
      </c>
      <c r="E13" s="8" t="inlineStr">
        <is>
          <t>US</t>
        </is>
      </c>
      <c r="F13" s="8" t="inlineStr">
        <is>
          <t>Sales</t>
        </is>
      </c>
      <c r="G13" s="8" t="inlineStr">
        <is>
          <t>Desktop</t>
        </is>
      </c>
      <c r="H13" s="8" t="inlineStr">
        <is>
          <t>Outlook not opening on startup</t>
        </is>
      </c>
      <c r="I13" s="8" t="inlineStr">
        <is>
          <t>Software</t>
        </is>
      </c>
      <c r="J13" s="8" t="inlineStr">
        <is>
          <t>Outlook Issue</t>
        </is>
      </c>
      <c r="K13" s="8" t="inlineStr">
        <is>
          <t>Microsoft Office</t>
        </is>
      </c>
      <c r="L13" s="8" t="inlineStr">
        <is>
          <t>Medium</t>
        </is>
      </c>
      <c r="M13" s="8" t="inlineStr">
        <is>
          <t>L1 Service Desk</t>
        </is>
      </c>
      <c r="N13" s="8" t="inlineStr">
        <is>
          <t>No</t>
        </is>
      </c>
      <c r="O13" s="8" t="inlineStr">
        <is>
          <t>Closed</t>
        </is>
      </c>
      <c r="P13" s="10" t="n">
        <v>0.5</v>
      </c>
      <c r="Q13" s="10" t="n">
        <v>3.8</v>
      </c>
      <c r="R13" s="10" t="n">
        <v>8</v>
      </c>
      <c r="S13" s="8">
        <f>IF(OR(O13="Open",O13="In Progress"),"Pending",IF(Q13&lt;=R13,"Yes","No"))</f>
        <v/>
      </c>
      <c r="T13" s="8" t="inlineStr">
        <is>
          <t>Corrupt Office add-in</t>
        </is>
      </c>
      <c r="U13" s="8" t="inlineStr">
        <is>
          <t>Started in safe mode and repaired Office</t>
        </is>
      </c>
      <c r="V13" s="8" t="inlineStr">
        <is>
          <t>No</t>
        </is>
      </c>
    </row>
    <row r="14">
      <c r="A14" s="8" t="inlineStr">
        <is>
          <t>INC100012</t>
        </is>
      </c>
      <c r="B14" s="9" t="n">
        <v>46032.625</v>
      </c>
      <c r="C14" s="8" t="inlineStr">
        <is>
          <t>Portal</t>
        </is>
      </c>
      <c r="D14" s="8" t="inlineStr">
        <is>
          <t>Rahul Joshi</t>
        </is>
      </c>
      <c r="E14" s="8" t="inlineStr">
        <is>
          <t>US</t>
        </is>
      </c>
      <c r="F14" s="8" t="inlineStr">
        <is>
          <t>Operations</t>
        </is>
      </c>
      <c r="G14" s="8" t="inlineStr">
        <is>
          <t>Desktop</t>
        </is>
      </c>
      <c r="H14" s="8" t="inlineStr">
        <is>
          <t>Need creation of new user account for onboarding</t>
        </is>
      </c>
      <c r="I14" s="8" t="inlineStr">
        <is>
          <t>Access</t>
        </is>
      </c>
      <c r="J14" s="8" t="inlineStr">
        <is>
          <t>User Creation</t>
        </is>
      </c>
      <c r="K14" s="8" t="inlineStr">
        <is>
          <t>Azure AD</t>
        </is>
      </c>
      <c r="L14" s="8" t="inlineStr">
        <is>
          <t>High</t>
        </is>
      </c>
      <c r="M14" s="8" t="inlineStr">
        <is>
          <t>L1 Service Desk</t>
        </is>
      </c>
      <c r="N14" s="8" t="inlineStr">
        <is>
          <t>No</t>
        </is>
      </c>
      <c r="O14" s="8" t="inlineStr">
        <is>
          <t>Closed</t>
        </is>
      </c>
      <c r="P14" s="10" t="n">
        <v>0.3</v>
      </c>
      <c r="Q14" s="10" t="n">
        <v>6.2</v>
      </c>
      <c r="R14" s="10" t="n">
        <v>4</v>
      </c>
      <c r="S14" s="8">
        <f>IF(OR(O14="Open",O14="In Progress"),"Pending",IF(Q14&lt;=R14,"Yes","No"))</f>
        <v/>
      </c>
      <c r="T14" s="8" t="inlineStr">
        <is>
          <t>New hire onboarding</t>
        </is>
      </c>
      <c r="U14" s="8" t="inlineStr">
        <is>
          <t>Created account and assigned baseline groups</t>
        </is>
      </c>
      <c r="V14" s="8" t="inlineStr">
        <is>
          <t>No</t>
        </is>
      </c>
    </row>
    <row r="15">
      <c r="A15" s="8" t="inlineStr">
        <is>
          <t>INC100013</t>
        </is>
      </c>
      <c r="B15" s="9" t="n">
        <v>46095.23958333334</v>
      </c>
      <c r="C15" s="8" t="inlineStr">
        <is>
          <t>Email</t>
        </is>
      </c>
      <c r="D15" s="8" t="inlineStr">
        <is>
          <t>Ananya Gupta</t>
        </is>
      </c>
      <c r="E15" s="8" t="inlineStr">
        <is>
          <t>APAC</t>
        </is>
      </c>
      <c r="F15" s="8" t="inlineStr">
        <is>
          <t>Operations</t>
        </is>
      </c>
      <c r="G15" s="8" t="inlineStr">
        <is>
          <t>iPhone</t>
        </is>
      </c>
      <c r="H15" s="8" t="inlineStr">
        <is>
          <t>SharePoint file sync failing on laptop</t>
        </is>
      </c>
      <c r="I15" s="8" t="inlineStr">
        <is>
          <t>Software</t>
        </is>
      </c>
      <c r="J15" s="8" t="inlineStr">
        <is>
          <t>Sync Issue</t>
        </is>
      </c>
      <c r="K15" s="8" t="inlineStr">
        <is>
          <t>SharePoint</t>
        </is>
      </c>
      <c r="L15" s="8" t="inlineStr">
        <is>
          <t>Medium</t>
        </is>
      </c>
      <c r="M15" s="8" t="inlineStr">
        <is>
          <t>L1 Collaboration Support</t>
        </is>
      </c>
      <c r="N15" s="8" t="inlineStr">
        <is>
          <t>No</t>
        </is>
      </c>
      <c r="O15" s="8" t="inlineStr">
        <is>
          <t>Resolved</t>
        </is>
      </c>
      <c r="P15" s="10" t="n">
        <v>2.4</v>
      </c>
      <c r="Q15" s="10" t="n">
        <v>4.5</v>
      </c>
      <c r="R15" s="10" t="n">
        <v>8</v>
      </c>
      <c r="S15" s="8">
        <f>IF(OR(O15="Open",O15="In Progress"),"Pending",IF(Q15&lt;=R15,"Yes","No"))</f>
        <v/>
      </c>
      <c r="T15" s="8" t="inlineStr">
        <is>
          <t>OneDrive sync conflict</t>
        </is>
      </c>
      <c r="U15" s="8" t="inlineStr">
        <is>
          <t>Reset sync client and re-linked library</t>
        </is>
      </c>
      <c r="V15" s="8" t="inlineStr">
        <is>
          <t>Yes</t>
        </is>
      </c>
    </row>
    <row r="16">
      <c r="A16" s="8" t="inlineStr">
        <is>
          <t>INC100014</t>
        </is>
      </c>
      <c r="B16" s="9" t="n">
        <v>46078.19791666666</v>
      </c>
      <c r="C16" s="8" t="inlineStr">
        <is>
          <t>Phone</t>
        </is>
      </c>
      <c r="D16" s="8" t="inlineStr">
        <is>
          <t>Manoj Joshi</t>
        </is>
      </c>
      <c r="E16" s="8" t="inlineStr">
        <is>
          <t>US</t>
        </is>
      </c>
      <c r="F16" s="8" t="inlineStr">
        <is>
          <t>Finance</t>
        </is>
      </c>
      <c r="G16" s="8" t="inlineStr">
        <is>
          <t>Laptop</t>
        </is>
      </c>
      <c r="H16" s="8" t="inlineStr">
        <is>
          <t>User account locked after failed logins</t>
        </is>
      </c>
      <c r="I16" s="8" t="inlineStr">
        <is>
          <t>Login</t>
        </is>
      </c>
      <c r="J16" s="8" t="inlineStr">
        <is>
          <t>Account Unlock</t>
        </is>
      </c>
      <c r="K16" s="8" t="inlineStr">
        <is>
          <t>Active Directory</t>
        </is>
      </c>
      <c r="L16" s="8" t="inlineStr">
        <is>
          <t>High</t>
        </is>
      </c>
      <c r="M16" s="8" t="inlineStr">
        <is>
          <t>L1 Service Desk</t>
        </is>
      </c>
      <c r="N16" s="8" t="inlineStr">
        <is>
          <t>No</t>
        </is>
      </c>
      <c r="O16" s="8" t="inlineStr">
        <is>
          <t>Resolved</t>
        </is>
      </c>
      <c r="P16" s="10" t="n">
        <v>0.8</v>
      </c>
      <c r="Q16" s="10" t="n">
        <v>2.7</v>
      </c>
      <c r="R16" s="10" t="n">
        <v>4</v>
      </c>
      <c r="S16" s="8">
        <f>IF(OR(O16="Open",O16="In Progress"),"Pending",IF(Q16&lt;=R16,"Yes","No"))</f>
        <v/>
      </c>
      <c r="T16" s="8" t="inlineStr">
        <is>
          <t>Repeated failed attempts</t>
        </is>
      </c>
      <c r="U16" s="8" t="inlineStr">
        <is>
          <t>Unlocked account and advised correct password usage</t>
        </is>
      </c>
      <c r="V16" s="8" t="inlineStr">
        <is>
          <t>Yes</t>
        </is>
      </c>
    </row>
    <row r="17">
      <c r="A17" s="8" t="inlineStr">
        <is>
          <t>INC100015</t>
        </is>
      </c>
      <c r="B17" s="9" t="n">
        <v>46031.70833333334</v>
      </c>
      <c r="C17" s="8" t="inlineStr">
        <is>
          <t>Email</t>
        </is>
      </c>
      <c r="D17" s="8" t="inlineStr">
        <is>
          <t>Pooja Jain</t>
        </is>
      </c>
      <c r="E17" s="8" t="inlineStr">
        <is>
          <t>UK</t>
        </is>
      </c>
      <c r="F17" s="8" t="inlineStr">
        <is>
          <t>Procurement</t>
        </is>
      </c>
      <c r="G17" s="8" t="inlineStr">
        <is>
          <t>iPhone</t>
        </is>
      </c>
      <c r="H17" s="8" t="inlineStr">
        <is>
          <t>Role-based access required for finance application</t>
        </is>
      </c>
      <c r="I17" s="8" t="inlineStr">
        <is>
          <t>Access</t>
        </is>
      </c>
      <c r="J17" s="8" t="inlineStr">
        <is>
          <t>Role Assignment</t>
        </is>
      </c>
      <c r="K17" s="8" t="inlineStr">
        <is>
          <t>Azure AD</t>
        </is>
      </c>
      <c r="L17" s="8" t="inlineStr">
        <is>
          <t>Medium</t>
        </is>
      </c>
      <c r="M17" s="8" t="inlineStr">
        <is>
          <t>L1 Service Desk</t>
        </is>
      </c>
      <c r="N17" s="8" t="inlineStr">
        <is>
          <t>No</t>
        </is>
      </c>
      <c r="O17" s="8" t="inlineStr">
        <is>
          <t>In Progress</t>
        </is>
      </c>
      <c r="P17" s="10" t="n">
        <v>1</v>
      </c>
      <c r="Q17" s="10" t="n"/>
      <c r="R17" s="10" t="n">
        <v>8</v>
      </c>
      <c r="S17" s="8">
        <f>IF(OR(O17="Open",O17="In Progress"),"Pending",IF(Q17&lt;=R17,"Yes","No"))</f>
        <v/>
      </c>
      <c r="T17" s="8" t="inlineStr">
        <is>
          <t>Missing app role assignment</t>
        </is>
      </c>
      <c r="U17" s="8" t="inlineStr">
        <is>
          <t>Pending specialist review / awaiting user confirmation</t>
        </is>
      </c>
      <c r="V17" s="8" t="inlineStr">
        <is>
          <t>No</t>
        </is>
      </c>
    </row>
    <row r="18">
      <c r="A18" s="8" t="inlineStr">
        <is>
          <t>INC100016</t>
        </is>
      </c>
      <c r="B18" s="9" t="n">
        <v>46085.64583333334</v>
      </c>
      <c r="C18" s="8" t="inlineStr">
        <is>
          <t>Portal</t>
        </is>
      </c>
      <c r="D18" s="8" t="inlineStr">
        <is>
          <t>Sanjay Mehta</t>
        </is>
      </c>
      <c r="E18" s="8" t="inlineStr">
        <is>
          <t>India</t>
        </is>
      </c>
      <c r="F18" s="8" t="inlineStr">
        <is>
          <t>Finance</t>
        </is>
      </c>
      <c r="G18" s="8" t="inlineStr">
        <is>
          <t>Thin Client</t>
        </is>
      </c>
      <c r="H18" s="8" t="inlineStr">
        <is>
          <t>SharePoint file sync failing on laptop</t>
        </is>
      </c>
      <c r="I18" s="8" t="inlineStr">
        <is>
          <t>Software</t>
        </is>
      </c>
      <c r="J18" s="8" t="inlineStr">
        <is>
          <t>Sync Issue</t>
        </is>
      </c>
      <c r="K18" s="8" t="inlineStr">
        <is>
          <t>SharePoint</t>
        </is>
      </c>
      <c r="L18" s="8" t="inlineStr">
        <is>
          <t>Medium</t>
        </is>
      </c>
      <c r="M18" s="8" t="inlineStr">
        <is>
          <t>L1 Collaboration Support</t>
        </is>
      </c>
      <c r="N18" s="8" t="inlineStr">
        <is>
          <t>No</t>
        </is>
      </c>
      <c r="O18" s="8" t="inlineStr">
        <is>
          <t>Resolved</t>
        </is>
      </c>
      <c r="P18" s="10" t="n">
        <v>0.3</v>
      </c>
      <c r="Q18" s="10" t="n">
        <v>2.2</v>
      </c>
      <c r="R18" s="10" t="n">
        <v>8</v>
      </c>
      <c r="S18" s="8">
        <f>IF(OR(O18="Open",O18="In Progress"),"Pending",IF(Q18&lt;=R18,"Yes","No"))</f>
        <v/>
      </c>
      <c r="T18" s="8" t="inlineStr">
        <is>
          <t>OneDrive sync conflict</t>
        </is>
      </c>
      <c r="U18" s="8" t="inlineStr">
        <is>
          <t>Reset sync client and re-linked library</t>
        </is>
      </c>
      <c r="V18" s="8" t="inlineStr">
        <is>
          <t>Yes</t>
        </is>
      </c>
    </row>
    <row r="19">
      <c r="A19" s="8" t="inlineStr">
        <is>
          <t>INC100017</t>
        </is>
      </c>
      <c r="B19" s="9" t="n">
        <v>46052.63541666666</v>
      </c>
      <c r="C19" s="8" t="inlineStr">
        <is>
          <t>Chat</t>
        </is>
      </c>
      <c r="D19" s="8" t="inlineStr">
        <is>
          <t>Sanjay Rao</t>
        </is>
      </c>
      <c r="E19" s="8" t="inlineStr">
        <is>
          <t>UK</t>
        </is>
      </c>
      <c r="F19" s="8" t="inlineStr">
        <is>
          <t>Finance</t>
        </is>
      </c>
      <c r="G19" s="8" t="inlineStr">
        <is>
          <t>iPhone</t>
        </is>
      </c>
      <c r="H19" s="8" t="inlineStr">
        <is>
          <t>Access denied to SharePoint team site</t>
        </is>
      </c>
      <c r="I19" s="8" t="inlineStr">
        <is>
          <t>Access</t>
        </is>
      </c>
      <c r="J19" s="8" t="inlineStr">
        <is>
          <t>SharePoint Access</t>
        </is>
      </c>
      <c r="K19" s="8" t="inlineStr">
        <is>
          <t>SharePoint</t>
        </is>
      </c>
      <c r="L19" s="8" t="inlineStr">
        <is>
          <t>Medium</t>
        </is>
      </c>
      <c r="M19" s="8" t="inlineStr">
        <is>
          <t>L1 Collaboration Support</t>
        </is>
      </c>
      <c r="N19" s="8" t="inlineStr">
        <is>
          <t>No</t>
        </is>
      </c>
      <c r="O19" s="8" t="inlineStr">
        <is>
          <t>Resolved</t>
        </is>
      </c>
      <c r="P19" s="10" t="n">
        <v>2.4</v>
      </c>
      <c r="Q19" s="10" t="n">
        <v>9</v>
      </c>
      <c r="R19" s="10" t="n">
        <v>8</v>
      </c>
      <c r="S19" s="8">
        <f>IF(OR(O19="Open",O19="In Progress"),"Pending",IF(Q19&lt;=R19,"Yes","No"))</f>
        <v/>
      </c>
      <c r="T19" s="8" t="inlineStr">
        <is>
          <t>Permission group missing</t>
        </is>
      </c>
      <c r="U19" s="8" t="inlineStr">
        <is>
          <t>Added user to correct SharePoint group</t>
        </is>
      </c>
      <c r="V19" s="8" t="inlineStr">
        <is>
          <t>Yes</t>
        </is>
      </c>
    </row>
    <row r="20">
      <c r="A20" s="8" t="inlineStr">
        <is>
          <t>INC100018</t>
        </is>
      </c>
      <c r="B20" s="9" t="n">
        <v>46079.92708333334</v>
      </c>
      <c r="C20" s="8" t="inlineStr">
        <is>
          <t>Chat</t>
        </is>
      </c>
      <c r="D20" s="8" t="inlineStr">
        <is>
          <t>Ravi Kumar</t>
        </is>
      </c>
      <c r="E20" s="8" t="inlineStr">
        <is>
          <t>UK</t>
        </is>
      </c>
      <c r="F20" s="8" t="inlineStr">
        <is>
          <t>Legal</t>
        </is>
      </c>
      <c r="G20" s="8" t="inlineStr">
        <is>
          <t>Laptop</t>
        </is>
      </c>
      <c r="H20" s="8" t="inlineStr">
        <is>
          <t>Software installation blocked on endpoint</t>
        </is>
      </c>
      <c r="I20" s="8" t="inlineStr">
        <is>
          <t>Software</t>
        </is>
      </c>
      <c r="J20" s="8" t="inlineStr">
        <is>
          <t>Installation Issue</t>
        </is>
      </c>
      <c r="K20" s="8" t="inlineStr">
        <is>
          <t>Windows</t>
        </is>
      </c>
      <c r="L20" s="8" t="inlineStr">
        <is>
          <t>Medium</t>
        </is>
      </c>
      <c r="M20" s="8" t="inlineStr">
        <is>
          <t>L1 Endpoint Support</t>
        </is>
      </c>
      <c r="N20" s="8" t="inlineStr">
        <is>
          <t>No</t>
        </is>
      </c>
      <c r="O20" s="8" t="inlineStr">
        <is>
          <t>Resolved</t>
        </is>
      </c>
      <c r="P20" s="10" t="n">
        <v>1.6</v>
      </c>
      <c r="Q20" s="10" t="n">
        <v>10</v>
      </c>
      <c r="R20" s="10" t="n">
        <v>8</v>
      </c>
      <c r="S20" s="8">
        <f>IF(OR(O20="Open",O20="In Progress"),"Pending",IF(Q20&lt;=R20,"Yes","No"))</f>
        <v/>
      </c>
      <c r="T20" s="8" t="inlineStr">
        <is>
          <t>Admin rights required</t>
        </is>
      </c>
      <c r="U20" s="8" t="inlineStr">
        <is>
          <t>Installed package via approved elevated workflow</t>
        </is>
      </c>
      <c r="V20" s="8" t="inlineStr">
        <is>
          <t>Yes</t>
        </is>
      </c>
    </row>
    <row r="21">
      <c r="A21" s="8" t="inlineStr">
        <is>
          <t>INC100019</t>
        </is>
      </c>
      <c r="B21" s="9" t="n">
        <v>46091.61458333334</v>
      </c>
      <c r="C21" s="8" t="inlineStr">
        <is>
          <t>Phone</t>
        </is>
      </c>
      <c r="D21" s="8" t="inlineStr">
        <is>
          <t>Lavanya Kapoor</t>
        </is>
      </c>
      <c r="E21" s="8" t="inlineStr">
        <is>
          <t>APAC</t>
        </is>
      </c>
      <c r="F21" s="8" t="inlineStr">
        <is>
          <t>Finance</t>
        </is>
      </c>
      <c r="G21" s="8" t="inlineStr">
        <is>
          <t>Laptop</t>
        </is>
      </c>
      <c r="H21" s="8" t="inlineStr">
        <is>
          <t>Software installation blocked on endpoint</t>
        </is>
      </c>
      <c r="I21" s="8" t="inlineStr">
        <is>
          <t>Software</t>
        </is>
      </c>
      <c r="J21" s="8" t="inlineStr">
        <is>
          <t>Installation Issue</t>
        </is>
      </c>
      <c r="K21" s="8" t="inlineStr">
        <is>
          <t>Windows</t>
        </is>
      </c>
      <c r="L21" s="8" t="inlineStr">
        <is>
          <t>Medium</t>
        </is>
      </c>
      <c r="M21" s="8" t="inlineStr">
        <is>
          <t>L1 Endpoint Support</t>
        </is>
      </c>
      <c r="N21" s="8" t="inlineStr">
        <is>
          <t>No</t>
        </is>
      </c>
      <c r="O21" s="8" t="inlineStr">
        <is>
          <t>Resolved</t>
        </is>
      </c>
      <c r="P21" s="10" t="n">
        <v>1.4</v>
      </c>
      <c r="Q21" s="10" t="n">
        <v>6.1</v>
      </c>
      <c r="R21" s="10" t="n">
        <v>8</v>
      </c>
      <c r="S21" s="8">
        <f>IF(OR(O21="Open",O21="In Progress"),"Pending",IF(Q21&lt;=R21,"Yes","No"))</f>
        <v/>
      </c>
      <c r="T21" s="8" t="inlineStr">
        <is>
          <t>Admin rights required</t>
        </is>
      </c>
      <c r="U21" s="8" t="inlineStr">
        <is>
          <t>Installed package via approved elevated workflow</t>
        </is>
      </c>
      <c r="V21" s="8" t="inlineStr">
        <is>
          <t>No</t>
        </is>
      </c>
    </row>
    <row r="22">
      <c r="A22" s="8" t="inlineStr">
        <is>
          <t>INC100020</t>
        </is>
      </c>
      <c r="B22" s="9" t="n">
        <v>46054.64583333334</v>
      </c>
      <c r="C22" s="8" t="inlineStr">
        <is>
          <t>Email</t>
        </is>
      </c>
      <c r="D22" s="8" t="inlineStr">
        <is>
          <t>Priya Joshi</t>
        </is>
      </c>
      <c r="E22" s="8" t="inlineStr">
        <is>
          <t>UK</t>
        </is>
      </c>
      <c r="F22" s="8" t="inlineStr">
        <is>
          <t>Sales</t>
        </is>
      </c>
      <c r="G22" s="8" t="inlineStr">
        <is>
          <t>Laptop</t>
        </is>
      </c>
      <c r="H22" s="8" t="inlineStr">
        <is>
          <t>Teams login failure after password change</t>
        </is>
      </c>
      <c r="I22" s="8" t="inlineStr">
        <is>
          <t>Software</t>
        </is>
      </c>
      <c r="J22" s="8" t="inlineStr">
        <is>
          <t>Teams Login</t>
        </is>
      </c>
      <c r="K22" s="8" t="inlineStr">
        <is>
          <t>Microsoft Teams</t>
        </is>
      </c>
      <c r="L22" s="8" t="inlineStr">
        <is>
          <t>Medium</t>
        </is>
      </c>
      <c r="M22" s="8" t="inlineStr">
        <is>
          <t>L1 Service Desk</t>
        </is>
      </c>
      <c r="N22" s="8" t="inlineStr">
        <is>
          <t>No</t>
        </is>
      </c>
      <c r="O22" s="8" t="inlineStr">
        <is>
          <t>Closed</t>
        </is>
      </c>
      <c r="P22" s="10" t="n">
        <v>2</v>
      </c>
      <c r="Q22" s="10" t="n">
        <v>6.5</v>
      </c>
      <c r="R22" s="10" t="n">
        <v>8</v>
      </c>
      <c r="S22" s="8">
        <f>IF(OR(O22="Open",O22="In Progress"),"Pending",IF(Q22&lt;=R22,"Yes","No"))</f>
        <v/>
      </c>
      <c r="T22" s="8" t="inlineStr">
        <is>
          <t>Cached credentials mismatch</t>
        </is>
      </c>
      <c r="U22" s="8" t="inlineStr">
        <is>
          <t>Cleared Teams cache and reauthenticated</t>
        </is>
      </c>
      <c r="V22" s="8" t="inlineStr">
        <is>
          <t>Yes</t>
        </is>
      </c>
    </row>
    <row r="23">
      <c r="A23" s="8" t="inlineStr">
        <is>
          <t>INC100021</t>
        </is>
      </c>
      <c r="B23" s="9" t="n">
        <v>46096.59375</v>
      </c>
      <c r="C23" s="8" t="inlineStr">
        <is>
          <t>Portal</t>
        </is>
      </c>
      <c r="D23" s="8" t="inlineStr">
        <is>
          <t>Pooja Sharma</t>
        </is>
      </c>
      <c r="E23" s="8" t="inlineStr">
        <is>
          <t>US</t>
        </is>
      </c>
      <c r="F23" s="8" t="inlineStr">
        <is>
          <t>IT</t>
        </is>
      </c>
      <c r="G23" s="8" t="inlineStr">
        <is>
          <t>iPhone</t>
        </is>
      </c>
      <c r="H23" s="8" t="inlineStr">
        <is>
          <t>Access denied to SharePoint team site</t>
        </is>
      </c>
      <c r="I23" s="8" t="inlineStr">
        <is>
          <t>Access</t>
        </is>
      </c>
      <c r="J23" s="8" t="inlineStr">
        <is>
          <t>SharePoint Access</t>
        </is>
      </c>
      <c r="K23" s="8" t="inlineStr">
        <is>
          <t>SharePoint</t>
        </is>
      </c>
      <c r="L23" s="8" t="inlineStr">
        <is>
          <t>High</t>
        </is>
      </c>
      <c r="M23" s="8" t="inlineStr">
        <is>
          <t>L1 Collaboration Support</t>
        </is>
      </c>
      <c r="N23" s="8" t="inlineStr">
        <is>
          <t>No</t>
        </is>
      </c>
      <c r="O23" s="8" t="inlineStr">
        <is>
          <t>Resolved</t>
        </is>
      </c>
      <c r="P23" s="10" t="n">
        <v>0.4</v>
      </c>
      <c r="Q23" s="10" t="n">
        <v>8.4</v>
      </c>
      <c r="R23" s="10" t="n">
        <v>4</v>
      </c>
      <c r="S23" s="8">
        <f>IF(OR(O23="Open",O23="In Progress"),"Pending",IF(Q23&lt;=R23,"Yes","No"))</f>
        <v/>
      </c>
      <c r="T23" s="8" t="inlineStr">
        <is>
          <t>Permission group missing</t>
        </is>
      </c>
      <c r="U23" s="8" t="inlineStr">
        <is>
          <t>Added user to correct SharePoint group</t>
        </is>
      </c>
      <c r="V23" s="8" t="inlineStr">
        <is>
          <t>No</t>
        </is>
      </c>
    </row>
    <row r="24">
      <c r="A24" s="8" t="inlineStr">
        <is>
          <t>INC100022</t>
        </is>
      </c>
      <c r="B24" s="9" t="n">
        <v>46098.03125</v>
      </c>
      <c r="C24" s="8" t="inlineStr">
        <is>
          <t>Phone</t>
        </is>
      </c>
      <c r="D24" s="8" t="inlineStr">
        <is>
          <t>Divya Iyer</t>
        </is>
      </c>
      <c r="E24" s="8" t="inlineStr">
        <is>
          <t>US</t>
        </is>
      </c>
      <c r="F24" s="8" t="inlineStr">
        <is>
          <t>Sales</t>
        </is>
      </c>
      <c r="G24" s="8" t="inlineStr">
        <is>
          <t>iPhone</t>
        </is>
      </c>
      <c r="H24" s="8" t="inlineStr">
        <is>
          <t>Access denied to SharePoint team site</t>
        </is>
      </c>
      <c r="I24" s="8" t="inlineStr">
        <is>
          <t>Access</t>
        </is>
      </c>
      <c r="J24" s="8" t="inlineStr">
        <is>
          <t>SharePoint Access</t>
        </is>
      </c>
      <c r="K24" s="8" t="inlineStr">
        <is>
          <t>SharePoint</t>
        </is>
      </c>
      <c r="L24" s="8" t="inlineStr">
        <is>
          <t>High</t>
        </is>
      </c>
      <c r="M24" s="8" t="inlineStr">
        <is>
          <t>L1 Collaboration Support</t>
        </is>
      </c>
      <c r="N24" s="8" t="inlineStr">
        <is>
          <t>Yes</t>
        </is>
      </c>
      <c r="O24" s="8" t="inlineStr">
        <is>
          <t>Resolved</t>
        </is>
      </c>
      <c r="P24" s="10" t="n">
        <v>0.5</v>
      </c>
      <c r="Q24" s="10" t="n">
        <v>8</v>
      </c>
      <c r="R24" s="10" t="n">
        <v>4</v>
      </c>
      <c r="S24" s="8">
        <f>IF(OR(O24="Open",O24="In Progress"),"Pending",IF(Q24&lt;=R24,"Yes","No"))</f>
        <v/>
      </c>
      <c r="T24" s="8" t="inlineStr">
        <is>
          <t>Permission group missing</t>
        </is>
      </c>
      <c r="U24" s="8" t="inlineStr">
        <is>
          <t>Added user to correct SharePoint group</t>
        </is>
      </c>
      <c r="V24" s="8" t="inlineStr">
        <is>
          <t>No</t>
        </is>
      </c>
    </row>
    <row r="25">
      <c r="A25" s="8" t="inlineStr">
        <is>
          <t>INC100023</t>
        </is>
      </c>
      <c r="B25" s="9" t="n">
        <v>46071.82291666666</v>
      </c>
      <c r="C25" s="8" t="inlineStr">
        <is>
          <t>Chat</t>
        </is>
      </c>
      <c r="D25" s="8" t="inlineStr">
        <is>
          <t>Lavanya Mehta</t>
        </is>
      </c>
      <c r="E25" s="8" t="inlineStr">
        <is>
          <t>India</t>
        </is>
      </c>
      <c r="F25" s="8" t="inlineStr">
        <is>
          <t>HR</t>
        </is>
      </c>
      <c r="G25" s="8" t="inlineStr">
        <is>
          <t>Laptop</t>
        </is>
      </c>
      <c r="H25" s="8" t="inlineStr">
        <is>
          <t>New user mailbox access not available</t>
        </is>
      </c>
      <c r="I25" s="8" t="inlineStr">
        <is>
          <t>Access</t>
        </is>
      </c>
      <c r="J25" s="8" t="inlineStr">
        <is>
          <t>Mailbox Provisioning</t>
        </is>
      </c>
      <c r="K25" s="8" t="inlineStr">
        <is>
          <t>Azure AD</t>
        </is>
      </c>
      <c r="L25" s="8" t="inlineStr">
        <is>
          <t>Medium</t>
        </is>
      </c>
      <c r="M25" s="8" t="inlineStr">
        <is>
          <t>L1 Service Desk</t>
        </is>
      </c>
      <c r="N25" s="8" t="inlineStr">
        <is>
          <t>Yes</t>
        </is>
      </c>
      <c r="O25" s="8" t="inlineStr">
        <is>
          <t>Closed</t>
        </is>
      </c>
      <c r="P25" s="10" t="n">
        <v>0.2</v>
      </c>
      <c r="Q25" s="10" t="n">
        <v>7</v>
      </c>
      <c r="R25" s="10" t="n">
        <v>8</v>
      </c>
      <c r="S25" s="8">
        <f>IF(OR(O25="Open",O25="In Progress"),"Pending",IF(Q25&lt;=R25,"Yes","No"))</f>
        <v/>
      </c>
      <c r="T25" s="8" t="inlineStr">
        <is>
          <t>License sync delay</t>
        </is>
      </c>
      <c r="U25" s="8" t="inlineStr">
        <is>
          <t>Verified license assignment and sync completion</t>
        </is>
      </c>
      <c r="V25" s="8" t="inlineStr">
        <is>
          <t>No</t>
        </is>
      </c>
    </row>
    <row r="26">
      <c r="A26" s="8" t="inlineStr">
        <is>
          <t>INC100024</t>
        </is>
      </c>
      <c r="B26" s="9" t="n">
        <v>46071.95833333334</v>
      </c>
      <c r="C26" s="8" t="inlineStr">
        <is>
          <t>Phone</t>
        </is>
      </c>
      <c r="D26" s="8" t="inlineStr">
        <is>
          <t>Karthik Joshi</t>
        </is>
      </c>
      <c r="E26" s="8" t="inlineStr">
        <is>
          <t>US</t>
        </is>
      </c>
      <c r="F26" s="8" t="inlineStr">
        <is>
          <t>Procurement</t>
        </is>
      </c>
      <c r="G26" s="8" t="inlineStr">
        <is>
          <t>iPad</t>
        </is>
      </c>
      <c r="H26" s="8" t="inlineStr">
        <is>
          <t>Device marked non-compliant in management portal</t>
        </is>
      </c>
      <c r="I26" s="8" t="inlineStr">
        <is>
          <t>Compliance</t>
        </is>
      </c>
      <c r="J26" s="8" t="inlineStr">
        <is>
          <t>Compliance Alert</t>
        </is>
      </c>
      <c r="K26" s="8" t="inlineStr">
        <is>
          <t>Intune</t>
        </is>
      </c>
      <c r="L26" s="8" t="inlineStr">
        <is>
          <t>High</t>
        </is>
      </c>
      <c r="M26" s="8" t="inlineStr">
        <is>
          <t>L1 Endpoint Support</t>
        </is>
      </c>
      <c r="N26" s="8" t="inlineStr">
        <is>
          <t>No</t>
        </is>
      </c>
      <c r="O26" s="8" t="inlineStr">
        <is>
          <t>Resolved</t>
        </is>
      </c>
      <c r="P26" s="10" t="n">
        <v>0.7</v>
      </c>
      <c r="Q26" s="10" t="n">
        <v>3.1</v>
      </c>
      <c r="R26" s="10" t="n">
        <v>4</v>
      </c>
      <c r="S26" s="8">
        <f>IF(OR(O26="Open",O26="In Progress"),"Pending",IF(Q26&lt;=R26,"Yes","No"))</f>
        <v/>
      </c>
      <c r="T26" s="8" t="inlineStr">
        <is>
          <t>Encryption / policy mismatch</t>
        </is>
      </c>
      <c r="U26" s="8" t="inlineStr">
        <is>
          <t>Triggered policy sync and updated compliance state</t>
        </is>
      </c>
      <c r="V26" s="8" t="inlineStr">
        <is>
          <t>No</t>
        </is>
      </c>
    </row>
    <row r="27">
      <c r="A27" s="8" t="inlineStr">
        <is>
          <t>INC100025</t>
        </is>
      </c>
      <c r="B27" s="9" t="n">
        <v>46065.125</v>
      </c>
      <c r="C27" s="8" t="inlineStr">
        <is>
          <t>Chat</t>
        </is>
      </c>
      <c r="D27" s="8" t="inlineStr">
        <is>
          <t>Ravi Singh</t>
        </is>
      </c>
      <c r="E27" s="8" t="inlineStr">
        <is>
          <t>UK</t>
        </is>
      </c>
      <c r="F27" s="8" t="inlineStr">
        <is>
          <t>HR</t>
        </is>
      </c>
      <c r="G27" s="8" t="inlineStr">
        <is>
          <t>iPhone</t>
        </is>
      </c>
      <c r="H27" s="8" t="inlineStr">
        <is>
          <t>OTP not received for sign-in verification</t>
        </is>
      </c>
      <c r="I27" s="8" t="inlineStr">
        <is>
          <t>Access</t>
        </is>
      </c>
      <c r="J27" s="8" t="inlineStr">
        <is>
          <t>OTP Failure</t>
        </is>
      </c>
      <c r="K27" s="8" t="inlineStr">
        <is>
          <t>Okta</t>
        </is>
      </c>
      <c r="L27" s="8" t="inlineStr">
        <is>
          <t>Medium</t>
        </is>
      </c>
      <c r="M27" s="8" t="inlineStr">
        <is>
          <t>L1 IAM Support</t>
        </is>
      </c>
      <c r="N27" s="8" t="inlineStr">
        <is>
          <t>No</t>
        </is>
      </c>
      <c r="O27" s="8" t="inlineStr">
        <is>
          <t>Closed</t>
        </is>
      </c>
      <c r="P27" s="10" t="n">
        <v>1.7</v>
      </c>
      <c r="Q27" s="10" t="n">
        <v>2.9</v>
      </c>
      <c r="R27" s="10" t="n">
        <v>8</v>
      </c>
      <c r="S27" s="8">
        <f>IF(OR(O27="Open",O27="In Progress"),"Pending",IF(Q27&lt;=R27,"Yes","No"))</f>
        <v/>
      </c>
      <c r="T27" s="8" t="inlineStr">
        <is>
          <t>Outdated phone number</t>
        </is>
      </c>
      <c r="U27" s="8" t="inlineStr">
        <is>
          <t>Updated factor settings and retried verification</t>
        </is>
      </c>
      <c r="V27" s="8" t="inlineStr">
        <is>
          <t>Yes</t>
        </is>
      </c>
    </row>
    <row r="28">
      <c r="A28" s="8" t="inlineStr">
        <is>
          <t>INC100026</t>
        </is>
      </c>
      <c r="B28" s="9" t="n">
        <v>46085.07291666666</v>
      </c>
      <c r="C28" s="8" t="inlineStr">
        <is>
          <t>Phone</t>
        </is>
      </c>
      <c r="D28" s="8" t="inlineStr">
        <is>
          <t>Neha Singh</t>
        </is>
      </c>
      <c r="E28" s="8" t="inlineStr">
        <is>
          <t>UK</t>
        </is>
      </c>
      <c r="F28" s="8" t="inlineStr">
        <is>
          <t>Customer Support</t>
        </is>
      </c>
      <c r="G28" s="8" t="inlineStr">
        <is>
          <t>Desktop</t>
        </is>
      </c>
      <c r="H28" s="8" t="inlineStr">
        <is>
          <t>OTP not received for sign-in verification</t>
        </is>
      </c>
      <c r="I28" s="8" t="inlineStr">
        <is>
          <t>Access</t>
        </is>
      </c>
      <c r="J28" s="8" t="inlineStr">
        <is>
          <t>OTP Failure</t>
        </is>
      </c>
      <c r="K28" s="8" t="inlineStr">
        <is>
          <t>Okta</t>
        </is>
      </c>
      <c r="L28" s="8" t="inlineStr">
        <is>
          <t>Medium</t>
        </is>
      </c>
      <c r="M28" s="8" t="inlineStr">
        <is>
          <t>L1 IAM Support</t>
        </is>
      </c>
      <c r="N28" s="8" t="inlineStr">
        <is>
          <t>Yes</t>
        </is>
      </c>
      <c r="O28" s="8" t="inlineStr">
        <is>
          <t>Closed</t>
        </is>
      </c>
      <c r="P28" s="10" t="n">
        <v>0.6</v>
      </c>
      <c r="Q28" s="10" t="n">
        <v>7.8</v>
      </c>
      <c r="R28" s="10" t="n">
        <v>8</v>
      </c>
      <c r="S28" s="8">
        <f>IF(OR(O28="Open",O28="In Progress"),"Pending",IF(Q28&lt;=R28,"Yes","No"))</f>
        <v/>
      </c>
      <c r="T28" s="8" t="inlineStr">
        <is>
          <t>Outdated phone number</t>
        </is>
      </c>
      <c r="U28" s="8" t="inlineStr">
        <is>
          <t>Updated factor settings and retried verification</t>
        </is>
      </c>
      <c r="V28" s="8" t="inlineStr">
        <is>
          <t>No</t>
        </is>
      </c>
    </row>
    <row r="29">
      <c r="A29" s="8" t="inlineStr">
        <is>
          <t>INC100027</t>
        </is>
      </c>
      <c r="B29" s="9" t="n">
        <v>46066.05208333334</v>
      </c>
      <c r="C29" s="8" t="inlineStr">
        <is>
          <t>Chat</t>
        </is>
      </c>
      <c r="D29" s="8" t="inlineStr">
        <is>
          <t>Manoj Nair</t>
        </is>
      </c>
      <c r="E29" s="8" t="inlineStr">
        <is>
          <t>US</t>
        </is>
      </c>
      <c r="F29" s="8" t="inlineStr">
        <is>
          <t>HR</t>
        </is>
      </c>
      <c r="G29" s="8" t="inlineStr">
        <is>
          <t>Thin Client</t>
        </is>
      </c>
      <c r="H29" s="8" t="inlineStr">
        <is>
          <t>Antivirus disabled warning on endpoint</t>
        </is>
      </c>
      <c r="I29" s="8" t="inlineStr">
        <is>
          <t>Compliance</t>
        </is>
      </c>
      <c r="J29" s="8" t="inlineStr">
        <is>
          <t>Security Alert</t>
        </is>
      </c>
      <c r="K29" s="8" t="inlineStr">
        <is>
          <t>Intune</t>
        </is>
      </c>
      <c r="L29" s="8" t="inlineStr">
        <is>
          <t>Medium</t>
        </is>
      </c>
      <c r="M29" s="8" t="inlineStr">
        <is>
          <t>L1 Endpoint Support</t>
        </is>
      </c>
      <c r="N29" s="8" t="inlineStr">
        <is>
          <t>No</t>
        </is>
      </c>
      <c r="O29" s="8" t="inlineStr">
        <is>
          <t>Closed</t>
        </is>
      </c>
      <c r="P29" s="10" t="n">
        <v>0.3</v>
      </c>
      <c r="Q29" s="10" t="n">
        <v>6.9</v>
      </c>
      <c r="R29" s="10" t="n">
        <v>8</v>
      </c>
      <c r="S29" s="8">
        <f>IF(OR(O29="Open",O29="In Progress"),"Pending",IF(Q29&lt;=R29,"Yes","No"))</f>
        <v/>
      </c>
      <c r="T29" s="8" t="inlineStr">
        <is>
          <t>Protection service stopped</t>
        </is>
      </c>
      <c r="U29" s="8" t="inlineStr">
        <is>
          <t>Restarted endpoint protection service and rechecked</t>
        </is>
      </c>
      <c r="V29" s="8" t="inlineStr">
        <is>
          <t>No</t>
        </is>
      </c>
    </row>
    <row r="30">
      <c r="A30" s="8" t="inlineStr">
        <is>
          <t>INC100028</t>
        </is>
      </c>
      <c r="B30" s="9" t="n">
        <v>46040.875</v>
      </c>
      <c r="C30" s="8" t="inlineStr">
        <is>
          <t>Portal</t>
        </is>
      </c>
      <c r="D30" s="8" t="inlineStr">
        <is>
          <t>Priya Kumar</t>
        </is>
      </c>
      <c r="E30" s="8" t="inlineStr">
        <is>
          <t>APAC</t>
        </is>
      </c>
      <c r="F30" s="8" t="inlineStr">
        <is>
          <t>HR</t>
        </is>
      </c>
      <c r="G30" s="8" t="inlineStr">
        <is>
          <t>Desktop</t>
        </is>
      </c>
      <c r="H30" s="8" t="inlineStr">
        <is>
          <t>Access denied to SharePoint team site</t>
        </is>
      </c>
      <c r="I30" s="8" t="inlineStr">
        <is>
          <t>Access</t>
        </is>
      </c>
      <c r="J30" s="8" t="inlineStr">
        <is>
          <t>SharePoint Access</t>
        </is>
      </c>
      <c r="K30" s="8" t="inlineStr">
        <is>
          <t>SharePoint</t>
        </is>
      </c>
      <c r="L30" s="8" t="inlineStr">
        <is>
          <t>High</t>
        </is>
      </c>
      <c r="M30" s="8" t="inlineStr">
        <is>
          <t>L1 Collaboration Support</t>
        </is>
      </c>
      <c r="N30" s="8" t="inlineStr">
        <is>
          <t>Yes</t>
        </is>
      </c>
      <c r="O30" s="8" t="inlineStr">
        <is>
          <t>Resolved</t>
        </is>
      </c>
      <c r="P30" s="10" t="n">
        <v>0.9</v>
      </c>
      <c r="Q30" s="10" t="n">
        <v>2.6</v>
      </c>
      <c r="R30" s="10" t="n">
        <v>4</v>
      </c>
      <c r="S30" s="8">
        <f>IF(OR(O30="Open",O30="In Progress"),"Pending",IF(Q30&lt;=R30,"Yes","No"))</f>
        <v/>
      </c>
      <c r="T30" s="8" t="inlineStr">
        <is>
          <t>Permission group missing</t>
        </is>
      </c>
      <c r="U30" s="8" t="inlineStr">
        <is>
          <t>Added user to correct SharePoint group</t>
        </is>
      </c>
      <c r="V30" s="8" t="inlineStr">
        <is>
          <t>No</t>
        </is>
      </c>
    </row>
    <row r="31">
      <c r="A31" s="8" t="inlineStr">
        <is>
          <t>INC100029</t>
        </is>
      </c>
      <c r="B31" s="9" t="n">
        <v>46094.78125</v>
      </c>
      <c r="C31" s="8" t="inlineStr">
        <is>
          <t>Email</t>
        </is>
      </c>
      <c r="D31" s="8" t="inlineStr">
        <is>
          <t>Meera Patel</t>
        </is>
      </c>
      <c r="E31" s="8" t="inlineStr">
        <is>
          <t>APAC</t>
        </is>
      </c>
      <c r="F31" s="8" t="inlineStr">
        <is>
          <t>Finance</t>
        </is>
      </c>
      <c r="G31" s="8" t="inlineStr">
        <is>
          <t>Laptop</t>
        </is>
      </c>
      <c r="H31" s="8" t="inlineStr">
        <is>
          <t>Password reset required after expiry</t>
        </is>
      </c>
      <c r="I31" s="8" t="inlineStr">
        <is>
          <t>Login</t>
        </is>
      </c>
      <c r="J31" s="8" t="inlineStr">
        <is>
          <t>Password Reset</t>
        </is>
      </c>
      <c r="K31" s="8" t="inlineStr">
        <is>
          <t>Active Directory</t>
        </is>
      </c>
      <c r="L31" s="8" t="inlineStr">
        <is>
          <t>High</t>
        </is>
      </c>
      <c r="M31" s="8" t="inlineStr">
        <is>
          <t>L1 Service Desk</t>
        </is>
      </c>
      <c r="N31" s="8" t="inlineStr">
        <is>
          <t>No</t>
        </is>
      </c>
      <c r="O31" s="8" t="inlineStr">
        <is>
          <t>Closed</t>
        </is>
      </c>
      <c r="P31" s="10" t="n">
        <v>0.2</v>
      </c>
      <c r="Q31" s="10" t="n">
        <v>2.1</v>
      </c>
      <c r="R31" s="10" t="n">
        <v>4</v>
      </c>
      <c r="S31" s="8">
        <f>IF(OR(O31="Open",O31="In Progress"),"Pending",IF(Q31&lt;=R31,"Yes","No"))</f>
        <v/>
      </c>
      <c r="T31" s="8" t="inlineStr">
        <is>
          <t>Password policy expiry</t>
        </is>
      </c>
      <c r="U31" s="8" t="inlineStr">
        <is>
          <t>Reset password in AD and confirmed sign-in</t>
        </is>
      </c>
      <c r="V31" s="8" t="inlineStr">
        <is>
          <t>Yes</t>
        </is>
      </c>
    </row>
    <row r="32">
      <c r="A32" s="8" t="inlineStr">
        <is>
          <t>INC100030</t>
        </is>
      </c>
      <c r="B32" s="9" t="n">
        <v>46097.90625</v>
      </c>
      <c r="C32" s="8" t="inlineStr">
        <is>
          <t>Portal</t>
        </is>
      </c>
      <c r="D32" s="8" t="inlineStr">
        <is>
          <t>Lavanya Nair</t>
        </is>
      </c>
      <c r="E32" s="8" t="inlineStr">
        <is>
          <t>US</t>
        </is>
      </c>
      <c r="F32" s="8" t="inlineStr">
        <is>
          <t>Legal</t>
        </is>
      </c>
      <c r="G32" s="8" t="inlineStr">
        <is>
          <t>iPhone</t>
        </is>
      </c>
      <c r="H32" s="8" t="inlineStr">
        <is>
          <t>Antivirus disabled warning on endpoint</t>
        </is>
      </c>
      <c r="I32" s="8" t="inlineStr">
        <is>
          <t>Compliance</t>
        </is>
      </c>
      <c r="J32" s="8" t="inlineStr">
        <is>
          <t>Security Alert</t>
        </is>
      </c>
      <c r="K32" s="8" t="inlineStr">
        <is>
          <t>Intune</t>
        </is>
      </c>
      <c r="L32" s="8" t="inlineStr">
        <is>
          <t>High</t>
        </is>
      </c>
      <c r="M32" s="8" t="inlineStr">
        <is>
          <t>L1 Endpoint Support</t>
        </is>
      </c>
      <c r="N32" s="8" t="inlineStr">
        <is>
          <t>No</t>
        </is>
      </c>
      <c r="O32" s="8" t="inlineStr">
        <is>
          <t>Resolved</t>
        </is>
      </c>
      <c r="P32" s="10" t="n">
        <v>1</v>
      </c>
      <c r="Q32" s="10" t="n">
        <v>1.6</v>
      </c>
      <c r="R32" s="10" t="n">
        <v>4</v>
      </c>
      <c r="S32" s="8">
        <f>IF(OR(O32="Open",O32="In Progress"),"Pending",IF(Q32&lt;=R32,"Yes","No"))</f>
        <v/>
      </c>
      <c r="T32" s="8" t="inlineStr">
        <is>
          <t>Protection service stopped</t>
        </is>
      </c>
      <c r="U32" s="8" t="inlineStr">
        <is>
          <t>Restarted endpoint protection service and rechecked</t>
        </is>
      </c>
      <c r="V32" s="8" t="inlineStr">
        <is>
          <t>No</t>
        </is>
      </c>
    </row>
    <row r="33">
      <c r="A33" s="8" t="inlineStr">
        <is>
          <t>INC100031</t>
        </is>
      </c>
      <c r="B33" s="9" t="n">
        <v>46065.83333333334</v>
      </c>
      <c r="C33" s="8" t="inlineStr">
        <is>
          <t>Chat</t>
        </is>
      </c>
      <c r="D33" s="8" t="inlineStr">
        <is>
          <t>Ananya Kumar</t>
        </is>
      </c>
      <c r="E33" s="8" t="inlineStr">
        <is>
          <t>UK</t>
        </is>
      </c>
      <c r="F33" s="8" t="inlineStr">
        <is>
          <t>IT</t>
        </is>
      </c>
      <c r="G33" s="8" t="inlineStr">
        <is>
          <t>iPhone</t>
        </is>
      </c>
      <c r="H33" s="8" t="inlineStr">
        <is>
          <t>Access denied to SharePoint team site</t>
        </is>
      </c>
      <c r="I33" s="8" t="inlineStr">
        <is>
          <t>Access</t>
        </is>
      </c>
      <c r="J33" s="8" t="inlineStr">
        <is>
          <t>SharePoint Access</t>
        </is>
      </c>
      <c r="K33" s="8" t="inlineStr">
        <is>
          <t>SharePoint</t>
        </is>
      </c>
      <c r="L33" s="8" t="inlineStr">
        <is>
          <t>Medium</t>
        </is>
      </c>
      <c r="M33" s="8" t="inlineStr">
        <is>
          <t>L1 Collaboration Support</t>
        </is>
      </c>
      <c r="N33" s="8" t="inlineStr">
        <is>
          <t>No</t>
        </is>
      </c>
      <c r="O33" s="8" t="inlineStr">
        <is>
          <t>Open</t>
        </is>
      </c>
      <c r="P33" s="10" t="n">
        <v>0.7</v>
      </c>
      <c r="Q33" s="10" t="n"/>
      <c r="R33" s="10" t="n">
        <v>8</v>
      </c>
      <c r="S33" s="8">
        <f>IF(OR(O33="Open",O33="In Progress"),"Pending",IF(Q33&lt;=R33,"Yes","No"))</f>
        <v/>
      </c>
      <c r="T33" s="8" t="inlineStr">
        <is>
          <t>Permission group missing</t>
        </is>
      </c>
      <c r="U33" s="8" t="inlineStr">
        <is>
          <t>Pending specialist review / awaiting user confirmation</t>
        </is>
      </c>
      <c r="V33" s="8" t="inlineStr">
        <is>
          <t>No</t>
        </is>
      </c>
    </row>
    <row r="34">
      <c r="A34" s="8" t="inlineStr">
        <is>
          <t>INC100032</t>
        </is>
      </c>
      <c r="B34" s="9" t="n">
        <v>46087.55208333334</v>
      </c>
      <c r="C34" s="8" t="inlineStr">
        <is>
          <t>Chat</t>
        </is>
      </c>
      <c r="D34" s="8" t="inlineStr">
        <is>
          <t>Arjun Reddy</t>
        </is>
      </c>
      <c r="E34" s="8" t="inlineStr">
        <is>
          <t>APAC</t>
        </is>
      </c>
      <c r="F34" s="8" t="inlineStr">
        <is>
          <t>Customer Support</t>
        </is>
      </c>
      <c r="G34" s="8" t="inlineStr">
        <is>
          <t>iPhone</t>
        </is>
      </c>
      <c r="H34" s="8" t="inlineStr">
        <is>
          <t>Access denied to SharePoint team site</t>
        </is>
      </c>
      <c r="I34" s="8" t="inlineStr">
        <is>
          <t>Access</t>
        </is>
      </c>
      <c r="J34" s="8" t="inlineStr">
        <is>
          <t>SharePoint Access</t>
        </is>
      </c>
      <c r="K34" s="8" t="inlineStr">
        <is>
          <t>SharePoint</t>
        </is>
      </c>
      <c r="L34" s="8" t="inlineStr">
        <is>
          <t>Medium</t>
        </is>
      </c>
      <c r="M34" s="8" t="inlineStr">
        <is>
          <t>L1 Collaboration Support</t>
        </is>
      </c>
      <c r="N34" s="8" t="inlineStr">
        <is>
          <t>No</t>
        </is>
      </c>
      <c r="O34" s="8" t="inlineStr">
        <is>
          <t>In Progress</t>
        </is>
      </c>
      <c r="P34" s="10" t="n">
        <v>1.6</v>
      </c>
      <c r="Q34" s="10" t="n"/>
      <c r="R34" s="10" t="n">
        <v>8</v>
      </c>
      <c r="S34" s="8">
        <f>IF(OR(O34="Open",O34="In Progress"),"Pending",IF(Q34&lt;=R34,"Yes","No"))</f>
        <v/>
      </c>
      <c r="T34" s="8" t="inlineStr">
        <is>
          <t>Permission group missing</t>
        </is>
      </c>
      <c r="U34" s="8" t="inlineStr">
        <is>
          <t>Pending specialist review / awaiting user confirmation</t>
        </is>
      </c>
      <c r="V34" s="8" t="inlineStr">
        <is>
          <t>No</t>
        </is>
      </c>
    </row>
    <row r="35">
      <c r="A35" s="8" t="inlineStr">
        <is>
          <t>INC100033</t>
        </is>
      </c>
      <c r="B35" s="9" t="n">
        <v>46061.54166666666</v>
      </c>
      <c r="C35" s="8" t="inlineStr">
        <is>
          <t>Chat</t>
        </is>
      </c>
      <c r="D35" s="8" t="inlineStr">
        <is>
          <t>Tarun Gupta</t>
        </is>
      </c>
      <c r="E35" s="8" t="inlineStr">
        <is>
          <t>APAC</t>
        </is>
      </c>
      <c r="F35" s="8" t="inlineStr">
        <is>
          <t>Finance</t>
        </is>
      </c>
      <c r="G35" s="8" t="inlineStr">
        <is>
          <t>Desktop</t>
        </is>
      </c>
      <c r="H35" s="8" t="inlineStr">
        <is>
          <t>OTP not received for sign-in verification</t>
        </is>
      </c>
      <c r="I35" s="8" t="inlineStr">
        <is>
          <t>Access</t>
        </is>
      </c>
      <c r="J35" s="8" t="inlineStr">
        <is>
          <t>OTP Failure</t>
        </is>
      </c>
      <c r="K35" s="8" t="inlineStr">
        <is>
          <t>Okta</t>
        </is>
      </c>
      <c r="L35" s="8" t="inlineStr">
        <is>
          <t>Medium</t>
        </is>
      </c>
      <c r="M35" s="8" t="inlineStr">
        <is>
          <t>L1 IAM Support</t>
        </is>
      </c>
      <c r="N35" s="8" t="inlineStr">
        <is>
          <t>No</t>
        </is>
      </c>
      <c r="O35" s="8" t="inlineStr">
        <is>
          <t>Closed</t>
        </is>
      </c>
      <c r="P35" s="10" t="n">
        <v>2.1</v>
      </c>
      <c r="Q35" s="10" t="n">
        <v>6.9</v>
      </c>
      <c r="R35" s="10" t="n">
        <v>8</v>
      </c>
      <c r="S35" s="8">
        <f>IF(OR(O35="Open",O35="In Progress"),"Pending",IF(Q35&lt;=R35,"Yes","No"))</f>
        <v/>
      </c>
      <c r="T35" s="8" t="inlineStr">
        <is>
          <t>Outdated phone number</t>
        </is>
      </c>
      <c r="U35" s="8" t="inlineStr">
        <is>
          <t>Updated factor settings and retried verification</t>
        </is>
      </c>
      <c r="V35" s="8" t="inlineStr">
        <is>
          <t>Yes</t>
        </is>
      </c>
    </row>
    <row r="36">
      <c r="A36" s="8" t="inlineStr">
        <is>
          <t>INC100034</t>
        </is>
      </c>
      <c r="B36" s="9" t="n">
        <v>46051.61458333334</v>
      </c>
      <c r="C36" s="8" t="inlineStr">
        <is>
          <t>Portal</t>
        </is>
      </c>
      <c r="D36" s="8" t="inlineStr">
        <is>
          <t>Isha Sharma</t>
        </is>
      </c>
      <c r="E36" s="8" t="inlineStr">
        <is>
          <t>APAC</t>
        </is>
      </c>
      <c r="F36" s="8" t="inlineStr">
        <is>
          <t>IT</t>
        </is>
      </c>
      <c r="G36" s="8" t="inlineStr">
        <is>
          <t>Desktop</t>
        </is>
      </c>
      <c r="H36" s="8" t="inlineStr">
        <is>
          <t>OS outdated and pending critical patches</t>
        </is>
      </c>
      <c r="I36" s="8" t="inlineStr">
        <is>
          <t>Compliance</t>
        </is>
      </c>
      <c r="J36" s="8" t="inlineStr">
        <is>
          <t>Patch Compliance</t>
        </is>
      </c>
      <c r="K36" s="8" t="inlineStr">
        <is>
          <t>Intune</t>
        </is>
      </c>
      <c r="L36" s="8" t="inlineStr">
        <is>
          <t>High</t>
        </is>
      </c>
      <c r="M36" s="8" t="inlineStr">
        <is>
          <t>L1 Endpoint Support</t>
        </is>
      </c>
      <c r="N36" s="8" t="inlineStr">
        <is>
          <t>No</t>
        </is>
      </c>
      <c r="O36" s="8" t="inlineStr">
        <is>
          <t>In Progress</t>
        </is>
      </c>
      <c r="P36" s="10" t="n">
        <v>3.2</v>
      </c>
      <c r="Q36" s="10" t="n"/>
      <c r="R36" s="10" t="n">
        <v>4</v>
      </c>
      <c r="S36" s="8">
        <f>IF(OR(O36="Open",O36="In Progress"),"Pending",IF(Q36&lt;=R36,"Yes","No"))</f>
        <v/>
      </c>
      <c r="T36" s="8" t="inlineStr">
        <is>
          <t>Pending update ring</t>
        </is>
      </c>
      <c r="U36" s="8" t="inlineStr">
        <is>
          <t>Pending specialist review / awaiting user confirmation</t>
        </is>
      </c>
      <c r="V36" s="8" t="inlineStr">
        <is>
          <t>No</t>
        </is>
      </c>
    </row>
    <row r="37">
      <c r="A37" s="8" t="inlineStr">
        <is>
          <t>INC100035</t>
        </is>
      </c>
      <c r="B37" s="9" t="n">
        <v>46030.65625</v>
      </c>
      <c r="C37" s="8" t="inlineStr">
        <is>
          <t>Portal</t>
        </is>
      </c>
      <c r="D37" s="8" t="inlineStr">
        <is>
          <t>Tarun Singh</t>
        </is>
      </c>
      <c r="E37" s="8" t="inlineStr">
        <is>
          <t>India</t>
        </is>
      </c>
      <c r="F37" s="8" t="inlineStr">
        <is>
          <t>HR</t>
        </is>
      </c>
      <c r="G37" s="8" t="inlineStr">
        <is>
          <t>Desktop</t>
        </is>
      </c>
      <c r="H37" s="8" t="inlineStr">
        <is>
          <t>Unable to join Teams meeting from desktop app</t>
        </is>
      </c>
      <c r="I37" s="8" t="inlineStr">
        <is>
          <t>Software</t>
        </is>
      </c>
      <c r="J37" s="8" t="inlineStr">
        <is>
          <t>Teams Meeting</t>
        </is>
      </c>
      <c r="K37" s="8" t="inlineStr">
        <is>
          <t>Microsoft Teams</t>
        </is>
      </c>
      <c r="L37" s="8" t="inlineStr">
        <is>
          <t>Low</t>
        </is>
      </c>
      <c r="M37" s="8" t="inlineStr">
        <is>
          <t>L1 Service Desk</t>
        </is>
      </c>
      <c r="N37" s="8" t="inlineStr">
        <is>
          <t>Yes</t>
        </is>
      </c>
      <c r="O37" s="8" t="inlineStr">
        <is>
          <t>Closed</t>
        </is>
      </c>
      <c r="P37" s="10" t="n">
        <v>0.8</v>
      </c>
      <c r="Q37" s="10" t="n">
        <v>6.4</v>
      </c>
      <c r="R37" s="10" t="n">
        <v>16</v>
      </c>
      <c r="S37" s="8">
        <f>IF(OR(O37="Open",O37="In Progress"),"Pending",IF(Q37&lt;=R37,"Yes","No"))</f>
        <v/>
      </c>
      <c r="T37" s="8" t="inlineStr">
        <is>
          <t>Client cache / audio stack issue</t>
        </is>
      </c>
      <c r="U37" s="8" t="inlineStr">
        <is>
          <t>Reset Teams app and checked device permissions</t>
        </is>
      </c>
      <c r="V37" s="8" t="inlineStr">
        <is>
          <t>No</t>
        </is>
      </c>
    </row>
    <row r="38">
      <c r="A38" s="8" t="inlineStr">
        <is>
          <t>INC100036</t>
        </is>
      </c>
      <c r="B38" s="9" t="n">
        <v>46093.28125</v>
      </c>
      <c r="C38" s="8" t="inlineStr">
        <is>
          <t>Phone</t>
        </is>
      </c>
      <c r="D38" s="8" t="inlineStr">
        <is>
          <t>Vikram Verma</t>
        </is>
      </c>
      <c r="E38" s="8" t="inlineStr">
        <is>
          <t>APAC</t>
        </is>
      </c>
      <c r="F38" s="8" t="inlineStr">
        <is>
          <t>Procurement</t>
        </is>
      </c>
      <c r="G38" s="8" t="inlineStr">
        <is>
          <t>iPad</t>
        </is>
      </c>
      <c r="H38" s="8" t="inlineStr">
        <is>
          <t>Printer not responding for shared queue</t>
        </is>
      </c>
      <c r="I38" s="8" t="inlineStr">
        <is>
          <t>Hardware</t>
        </is>
      </c>
      <c r="J38" s="8" t="inlineStr">
        <is>
          <t>Printer Issue</t>
        </is>
      </c>
      <c r="K38" s="8" t="inlineStr">
        <is>
          <t>Printer</t>
        </is>
      </c>
      <c r="L38" s="8" t="inlineStr">
        <is>
          <t>Low</t>
        </is>
      </c>
      <c r="M38" s="8" t="inlineStr">
        <is>
          <t>L1 Endpoint Support</t>
        </is>
      </c>
      <c r="N38" s="8" t="inlineStr">
        <is>
          <t>No</t>
        </is>
      </c>
      <c r="O38" s="8" t="inlineStr">
        <is>
          <t>Resolved</t>
        </is>
      </c>
      <c r="P38" s="10" t="n">
        <v>3</v>
      </c>
      <c r="Q38" s="10" t="n">
        <v>1.5</v>
      </c>
      <c r="R38" s="10" t="n">
        <v>16</v>
      </c>
      <c r="S38" s="8">
        <f>IF(OR(O38="Open",O38="In Progress"),"Pending",IF(Q38&lt;=R38,"Yes","No"))</f>
        <v/>
      </c>
      <c r="T38" s="8" t="inlineStr">
        <is>
          <t>Driver / spooler issue</t>
        </is>
      </c>
      <c r="U38" s="8" t="inlineStr">
        <is>
          <t>Restarted spooler and reinstalled driver</t>
        </is>
      </c>
      <c r="V38" s="8" t="inlineStr">
        <is>
          <t>Yes</t>
        </is>
      </c>
    </row>
    <row r="39">
      <c r="A39" s="8" t="inlineStr">
        <is>
          <t>INC100037</t>
        </is>
      </c>
      <c r="B39" s="9" t="n">
        <v>46049.42708333334</v>
      </c>
      <c r="C39" s="8" t="inlineStr">
        <is>
          <t>Email</t>
        </is>
      </c>
      <c r="D39" s="8" t="inlineStr">
        <is>
          <t>Aarav Singh</t>
        </is>
      </c>
      <c r="E39" s="8" t="inlineStr">
        <is>
          <t>US</t>
        </is>
      </c>
      <c r="F39" s="8" t="inlineStr">
        <is>
          <t>Sales</t>
        </is>
      </c>
      <c r="G39" s="8" t="inlineStr">
        <is>
          <t>Desktop</t>
        </is>
      </c>
      <c r="H39" s="8" t="inlineStr">
        <is>
          <t>User account locked after failed logins</t>
        </is>
      </c>
      <c r="I39" s="8" t="inlineStr">
        <is>
          <t>Login</t>
        </is>
      </c>
      <c r="J39" s="8" t="inlineStr">
        <is>
          <t>Account Unlock</t>
        </is>
      </c>
      <c r="K39" s="8" t="inlineStr">
        <is>
          <t>Active Directory</t>
        </is>
      </c>
      <c r="L39" s="8" t="inlineStr">
        <is>
          <t>High</t>
        </is>
      </c>
      <c r="M39" s="8" t="inlineStr">
        <is>
          <t>L1 Service Desk</t>
        </is>
      </c>
      <c r="N39" s="8" t="inlineStr">
        <is>
          <t>No</t>
        </is>
      </c>
      <c r="O39" s="8" t="inlineStr">
        <is>
          <t>Resolved</t>
        </is>
      </c>
      <c r="P39" s="10" t="n">
        <v>0.7</v>
      </c>
      <c r="Q39" s="10" t="n">
        <v>1.4</v>
      </c>
      <c r="R39" s="10" t="n">
        <v>4</v>
      </c>
      <c r="S39" s="8">
        <f>IF(OR(O39="Open",O39="In Progress"),"Pending",IF(Q39&lt;=R39,"Yes","No"))</f>
        <v/>
      </c>
      <c r="T39" s="8" t="inlineStr">
        <is>
          <t>Repeated failed attempts</t>
        </is>
      </c>
      <c r="U39" s="8" t="inlineStr">
        <is>
          <t>Unlocked account and advised correct password usage</t>
        </is>
      </c>
      <c r="V39" s="8" t="inlineStr">
        <is>
          <t>Yes</t>
        </is>
      </c>
    </row>
    <row r="40">
      <c r="A40" s="8" t="inlineStr">
        <is>
          <t>INC100038</t>
        </is>
      </c>
      <c r="B40" s="9" t="n">
        <v>46092.125</v>
      </c>
      <c r="C40" s="8" t="inlineStr">
        <is>
          <t>Chat</t>
        </is>
      </c>
      <c r="D40" s="8" t="inlineStr">
        <is>
          <t>Neha Iyer</t>
        </is>
      </c>
      <c r="E40" s="8" t="inlineStr">
        <is>
          <t>India</t>
        </is>
      </c>
      <c r="F40" s="8" t="inlineStr">
        <is>
          <t>Finance</t>
        </is>
      </c>
      <c r="G40" s="8" t="inlineStr">
        <is>
          <t>Thin Client</t>
        </is>
      </c>
      <c r="H40" s="8" t="inlineStr">
        <is>
          <t>Unable to join Teams meeting from desktop app</t>
        </is>
      </c>
      <c r="I40" s="8" t="inlineStr">
        <is>
          <t>Software</t>
        </is>
      </c>
      <c r="J40" s="8" t="inlineStr">
        <is>
          <t>Teams Meeting</t>
        </is>
      </c>
      <c r="K40" s="8" t="inlineStr">
        <is>
          <t>Microsoft Teams</t>
        </is>
      </c>
      <c r="L40" s="8" t="inlineStr">
        <is>
          <t>Low</t>
        </is>
      </c>
      <c r="M40" s="8" t="inlineStr">
        <is>
          <t>L1 Service Desk</t>
        </is>
      </c>
      <c r="N40" s="8" t="inlineStr">
        <is>
          <t>No</t>
        </is>
      </c>
      <c r="O40" s="8" t="inlineStr">
        <is>
          <t>Closed</t>
        </is>
      </c>
      <c r="P40" s="10" t="n">
        <v>1.6</v>
      </c>
      <c r="Q40" s="10" t="n">
        <v>19.6</v>
      </c>
      <c r="R40" s="10" t="n">
        <v>16</v>
      </c>
      <c r="S40" s="8">
        <f>IF(OR(O40="Open",O40="In Progress"),"Pending",IF(Q40&lt;=R40,"Yes","No"))</f>
        <v/>
      </c>
      <c r="T40" s="8" t="inlineStr">
        <is>
          <t>Client cache / audio stack issue</t>
        </is>
      </c>
      <c r="U40" s="8" t="inlineStr">
        <is>
          <t>Reset Teams app and checked device permissions</t>
        </is>
      </c>
      <c r="V40" s="8" t="inlineStr">
        <is>
          <t>Yes</t>
        </is>
      </c>
    </row>
    <row r="41">
      <c r="A41" s="8" t="inlineStr">
        <is>
          <t>INC100039</t>
        </is>
      </c>
      <c r="B41" s="9" t="n">
        <v>46094.27083333334</v>
      </c>
      <c r="C41" s="8" t="inlineStr">
        <is>
          <t>Chat</t>
        </is>
      </c>
      <c r="D41" s="8" t="inlineStr">
        <is>
          <t>Nikita Verma</t>
        </is>
      </c>
      <c r="E41" s="8" t="inlineStr">
        <is>
          <t>India</t>
        </is>
      </c>
      <c r="F41" s="8" t="inlineStr">
        <is>
          <t>Finance</t>
        </is>
      </c>
      <c r="G41" s="8" t="inlineStr">
        <is>
          <t>Thin Client</t>
        </is>
      </c>
      <c r="H41" s="8" t="inlineStr">
        <is>
          <t>Outlook not opening on startup</t>
        </is>
      </c>
      <c r="I41" s="8" t="inlineStr">
        <is>
          <t>Software</t>
        </is>
      </c>
      <c r="J41" s="8" t="inlineStr">
        <is>
          <t>Outlook Issue</t>
        </is>
      </c>
      <c r="K41" s="8" t="inlineStr">
        <is>
          <t>Microsoft Office</t>
        </is>
      </c>
      <c r="L41" s="8" t="inlineStr">
        <is>
          <t>Low</t>
        </is>
      </c>
      <c r="M41" s="8" t="inlineStr">
        <is>
          <t>L1 Service Desk</t>
        </is>
      </c>
      <c r="N41" s="8" t="inlineStr">
        <is>
          <t>Yes</t>
        </is>
      </c>
      <c r="O41" s="8" t="inlineStr">
        <is>
          <t>Closed</t>
        </is>
      </c>
      <c r="P41" s="10" t="n">
        <v>2.7</v>
      </c>
      <c r="Q41" s="10" t="n">
        <v>2.3</v>
      </c>
      <c r="R41" s="10" t="n">
        <v>16</v>
      </c>
      <c r="S41" s="8">
        <f>IF(OR(O41="Open",O41="In Progress"),"Pending",IF(Q41&lt;=R41,"Yes","No"))</f>
        <v/>
      </c>
      <c r="T41" s="8" t="inlineStr">
        <is>
          <t>Corrupt Office add-in</t>
        </is>
      </c>
      <c r="U41" s="8" t="inlineStr">
        <is>
          <t>Started in safe mode and repaired Office</t>
        </is>
      </c>
      <c r="V41" s="8" t="inlineStr">
        <is>
          <t>No</t>
        </is>
      </c>
    </row>
    <row r="42">
      <c r="A42" s="8" t="inlineStr">
        <is>
          <t>INC100040</t>
        </is>
      </c>
      <c r="B42" s="9" t="n">
        <v>46037.36458333334</v>
      </c>
      <c r="C42" s="8" t="inlineStr">
        <is>
          <t>Portal</t>
        </is>
      </c>
      <c r="D42" s="8" t="inlineStr">
        <is>
          <t>Divya Jain</t>
        </is>
      </c>
      <c r="E42" s="8" t="inlineStr">
        <is>
          <t>APAC</t>
        </is>
      </c>
      <c r="F42" s="8" t="inlineStr">
        <is>
          <t>Operations</t>
        </is>
      </c>
      <c r="G42" s="8" t="inlineStr">
        <is>
          <t>Desktop</t>
        </is>
      </c>
      <c r="H42" s="8" t="inlineStr">
        <is>
          <t>Device marked non-compliant in management portal</t>
        </is>
      </c>
      <c r="I42" s="8" t="inlineStr">
        <is>
          <t>Compliance</t>
        </is>
      </c>
      <c r="J42" s="8" t="inlineStr">
        <is>
          <t>Compliance Alert</t>
        </is>
      </c>
      <c r="K42" s="8" t="inlineStr">
        <is>
          <t>Intune</t>
        </is>
      </c>
      <c r="L42" s="8" t="inlineStr">
        <is>
          <t>Medium</t>
        </is>
      </c>
      <c r="M42" s="8" t="inlineStr">
        <is>
          <t>L1 Endpoint Support</t>
        </is>
      </c>
      <c r="N42" s="8" t="inlineStr">
        <is>
          <t>Yes</t>
        </is>
      </c>
      <c r="O42" s="8" t="inlineStr">
        <is>
          <t>Closed</t>
        </is>
      </c>
      <c r="P42" s="10" t="n">
        <v>1.6</v>
      </c>
      <c r="Q42" s="10" t="n">
        <v>7.8</v>
      </c>
      <c r="R42" s="10" t="n">
        <v>8</v>
      </c>
      <c r="S42" s="8">
        <f>IF(OR(O42="Open",O42="In Progress"),"Pending",IF(Q42&lt;=R42,"Yes","No"))</f>
        <v/>
      </c>
      <c r="T42" s="8" t="inlineStr">
        <is>
          <t>Encryption / policy mismatch</t>
        </is>
      </c>
      <c r="U42" s="8" t="inlineStr">
        <is>
          <t>Triggered policy sync and updated compliance state</t>
        </is>
      </c>
      <c r="V42" s="8" t="inlineStr">
        <is>
          <t>No</t>
        </is>
      </c>
    </row>
    <row r="43">
      <c r="A43" s="8" t="inlineStr">
        <is>
          <t>INC100041</t>
        </is>
      </c>
      <c r="B43" s="9" t="n">
        <v>46078.89583333334</v>
      </c>
      <c r="C43" s="8" t="inlineStr">
        <is>
          <t>Chat</t>
        </is>
      </c>
      <c r="D43" s="8" t="inlineStr">
        <is>
          <t>Ravi Rao</t>
        </is>
      </c>
      <c r="E43" s="8" t="inlineStr">
        <is>
          <t>US</t>
        </is>
      </c>
      <c r="F43" s="8" t="inlineStr">
        <is>
          <t>HR</t>
        </is>
      </c>
      <c r="G43" s="8" t="inlineStr">
        <is>
          <t>iPad</t>
        </is>
      </c>
      <c r="H43" s="8" t="inlineStr">
        <is>
          <t>Device marked non-compliant in management portal</t>
        </is>
      </c>
      <c r="I43" s="8" t="inlineStr">
        <is>
          <t>Compliance</t>
        </is>
      </c>
      <c r="J43" s="8" t="inlineStr">
        <is>
          <t>Compliance Alert</t>
        </is>
      </c>
      <c r="K43" s="8" t="inlineStr">
        <is>
          <t>Intune</t>
        </is>
      </c>
      <c r="L43" s="8" t="inlineStr">
        <is>
          <t>High</t>
        </is>
      </c>
      <c r="M43" s="8" t="inlineStr">
        <is>
          <t>L1 Endpoint Support</t>
        </is>
      </c>
      <c r="N43" s="8" t="inlineStr">
        <is>
          <t>No</t>
        </is>
      </c>
      <c r="O43" s="8" t="inlineStr">
        <is>
          <t>Resolved</t>
        </is>
      </c>
      <c r="P43" s="10" t="n">
        <v>0.9</v>
      </c>
      <c r="Q43" s="10" t="n">
        <v>2.4</v>
      </c>
      <c r="R43" s="10" t="n">
        <v>4</v>
      </c>
      <c r="S43" s="8">
        <f>IF(OR(O43="Open",O43="In Progress"),"Pending",IF(Q43&lt;=R43,"Yes","No"))</f>
        <v/>
      </c>
      <c r="T43" s="8" t="inlineStr">
        <is>
          <t>Encryption / policy mismatch</t>
        </is>
      </c>
      <c r="U43" s="8" t="inlineStr">
        <is>
          <t>Triggered policy sync and updated compliance state</t>
        </is>
      </c>
      <c r="V43" s="8" t="inlineStr">
        <is>
          <t>No</t>
        </is>
      </c>
    </row>
    <row r="44">
      <c r="A44" s="8" t="inlineStr">
        <is>
          <t>INC100042</t>
        </is>
      </c>
      <c r="B44" s="9" t="n">
        <v>46056.05208333334</v>
      </c>
      <c r="C44" s="8" t="inlineStr">
        <is>
          <t>Chat</t>
        </is>
      </c>
      <c r="D44" s="8" t="inlineStr">
        <is>
          <t>Isha Kumar</t>
        </is>
      </c>
      <c r="E44" s="8" t="inlineStr">
        <is>
          <t>UK</t>
        </is>
      </c>
      <c r="F44" s="8" t="inlineStr">
        <is>
          <t>Procurement</t>
        </is>
      </c>
      <c r="G44" s="8" t="inlineStr">
        <is>
          <t>Desktop</t>
        </is>
      </c>
      <c r="H44" s="8" t="inlineStr">
        <is>
          <t>Password reset required after expiry</t>
        </is>
      </c>
      <c r="I44" s="8" t="inlineStr">
        <is>
          <t>Login</t>
        </is>
      </c>
      <c r="J44" s="8" t="inlineStr">
        <is>
          <t>Password Reset</t>
        </is>
      </c>
      <c r="K44" s="8" t="inlineStr">
        <is>
          <t>Active Directory</t>
        </is>
      </c>
      <c r="L44" s="8" t="inlineStr">
        <is>
          <t>High</t>
        </is>
      </c>
      <c r="M44" s="8" t="inlineStr">
        <is>
          <t>L1 Service Desk</t>
        </is>
      </c>
      <c r="N44" s="8" t="inlineStr">
        <is>
          <t>No</t>
        </is>
      </c>
      <c r="O44" s="8" t="inlineStr">
        <is>
          <t>Closed</t>
        </is>
      </c>
      <c r="P44" s="10" t="n">
        <v>0.7</v>
      </c>
      <c r="Q44" s="10" t="n">
        <v>2.2</v>
      </c>
      <c r="R44" s="10" t="n">
        <v>4</v>
      </c>
      <c r="S44" s="8">
        <f>IF(OR(O44="Open",O44="In Progress"),"Pending",IF(Q44&lt;=R44,"Yes","No"))</f>
        <v/>
      </c>
      <c r="T44" s="8" t="inlineStr">
        <is>
          <t>Password policy expiry</t>
        </is>
      </c>
      <c r="U44" s="8" t="inlineStr">
        <is>
          <t>Reset password in AD and confirmed sign-in</t>
        </is>
      </c>
      <c r="V44" s="8" t="inlineStr">
        <is>
          <t>No</t>
        </is>
      </c>
    </row>
    <row r="45">
      <c r="A45" s="8" t="inlineStr">
        <is>
          <t>INC100043</t>
        </is>
      </c>
      <c r="B45" s="9" t="n">
        <v>46093.01041666666</v>
      </c>
      <c r="C45" s="8" t="inlineStr">
        <is>
          <t>Phone</t>
        </is>
      </c>
      <c r="D45" s="8" t="inlineStr">
        <is>
          <t>Isha Jain</t>
        </is>
      </c>
      <c r="E45" s="8" t="inlineStr">
        <is>
          <t>APAC</t>
        </is>
      </c>
      <c r="F45" s="8" t="inlineStr">
        <is>
          <t>Legal</t>
        </is>
      </c>
      <c r="G45" s="8" t="inlineStr">
        <is>
          <t>Laptop</t>
        </is>
      </c>
      <c r="H45" s="8" t="inlineStr">
        <is>
          <t>OS outdated and pending critical patches</t>
        </is>
      </c>
      <c r="I45" s="8" t="inlineStr">
        <is>
          <t>Compliance</t>
        </is>
      </c>
      <c r="J45" s="8" t="inlineStr">
        <is>
          <t>Patch Compliance</t>
        </is>
      </c>
      <c r="K45" s="8" t="inlineStr">
        <is>
          <t>Intune</t>
        </is>
      </c>
      <c r="L45" s="8" t="inlineStr">
        <is>
          <t>High</t>
        </is>
      </c>
      <c r="M45" s="8" t="inlineStr">
        <is>
          <t>L1 Endpoint Support</t>
        </is>
      </c>
      <c r="N45" s="8" t="inlineStr">
        <is>
          <t>No</t>
        </is>
      </c>
      <c r="O45" s="8" t="inlineStr">
        <is>
          <t>Closed</t>
        </is>
      </c>
      <c r="P45" s="10" t="n">
        <v>0.3</v>
      </c>
      <c r="Q45" s="10" t="n">
        <v>2.7</v>
      </c>
      <c r="R45" s="10" t="n">
        <v>4</v>
      </c>
      <c r="S45" s="8">
        <f>IF(OR(O45="Open",O45="In Progress"),"Pending",IF(Q45&lt;=R45,"Yes","No"))</f>
        <v/>
      </c>
      <c r="T45" s="8" t="inlineStr">
        <is>
          <t>Pending update ring</t>
        </is>
      </c>
      <c r="U45" s="8" t="inlineStr">
        <is>
          <t>Forced sync and scheduled patch installation</t>
        </is>
      </c>
      <c r="V45" s="8" t="inlineStr">
        <is>
          <t>No</t>
        </is>
      </c>
    </row>
    <row r="46">
      <c r="A46" s="8" t="inlineStr">
        <is>
          <t>INC100044</t>
        </is>
      </c>
      <c r="B46" s="9" t="n">
        <v>46075.5625</v>
      </c>
      <c r="C46" s="8" t="inlineStr">
        <is>
          <t>Portal</t>
        </is>
      </c>
      <c r="D46" s="8" t="inlineStr">
        <is>
          <t>Pooja Kapoor</t>
        </is>
      </c>
      <c r="E46" s="8" t="inlineStr">
        <is>
          <t>UK</t>
        </is>
      </c>
      <c r="F46" s="8" t="inlineStr">
        <is>
          <t>IT</t>
        </is>
      </c>
      <c r="G46" s="8" t="inlineStr">
        <is>
          <t>Desktop</t>
        </is>
      </c>
      <c r="H46" s="8" t="inlineStr">
        <is>
          <t>New user mailbox access not available</t>
        </is>
      </c>
      <c r="I46" s="8" t="inlineStr">
        <is>
          <t>Access</t>
        </is>
      </c>
      <c r="J46" s="8" t="inlineStr">
        <is>
          <t>Mailbox Provisioning</t>
        </is>
      </c>
      <c r="K46" s="8" t="inlineStr">
        <is>
          <t>Azure AD</t>
        </is>
      </c>
      <c r="L46" s="8" t="inlineStr">
        <is>
          <t>Medium</t>
        </is>
      </c>
      <c r="M46" s="8" t="inlineStr">
        <is>
          <t>L1 Service Desk</t>
        </is>
      </c>
      <c r="N46" s="8" t="inlineStr">
        <is>
          <t>No</t>
        </is>
      </c>
      <c r="O46" s="8" t="inlineStr">
        <is>
          <t>Closed</t>
        </is>
      </c>
      <c r="P46" s="10" t="n">
        <v>0.7</v>
      </c>
      <c r="Q46" s="10" t="n">
        <v>1.6</v>
      </c>
      <c r="R46" s="10" t="n">
        <v>8</v>
      </c>
      <c r="S46" s="8">
        <f>IF(OR(O46="Open",O46="In Progress"),"Pending",IF(Q46&lt;=R46,"Yes","No"))</f>
        <v/>
      </c>
      <c r="T46" s="8" t="inlineStr">
        <is>
          <t>License sync delay</t>
        </is>
      </c>
      <c r="U46" s="8" t="inlineStr">
        <is>
          <t>Verified license assignment and sync completion</t>
        </is>
      </c>
      <c r="V46" s="8" t="inlineStr">
        <is>
          <t>No</t>
        </is>
      </c>
    </row>
    <row r="47">
      <c r="A47" s="8" t="inlineStr">
        <is>
          <t>INC100045</t>
        </is>
      </c>
      <c r="B47" s="9" t="n">
        <v>46044.13541666666</v>
      </c>
      <c r="C47" s="8" t="inlineStr">
        <is>
          <t>Chat</t>
        </is>
      </c>
      <c r="D47" s="8" t="inlineStr">
        <is>
          <t>Arjun Kapoor</t>
        </is>
      </c>
      <c r="E47" s="8" t="inlineStr">
        <is>
          <t>APAC</t>
        </is>
      </c>
      <c r="F47" s="8" t="inlineStr">
        <is>
          <t>Procurement</t>
        </is>
      </c>
      <c r="G47" s="8" t="inlineStr">
        <is>
          <t>Laptop</t>
        </is>
      </c>
      <c r="H47" s="8" t="inlineStr">
        <is>
          <t>Need creation of new user account for onboarding</t>
        </is>
      </c>
      <c r="I47" s="8" t="inlineStr">
        <is>
          <t>Access</t>
        </is>
      </c>
      <c r="J47" s="8" t="inlineStr">
        <is>
          <t>User Creation</t>
        </is>
      </c>
      <c r="K47" s="8" t="inlineStr">
        <is>
          <t>Azure AD</t>
        </is>
      </c>
      <c r="L47" s="8" t="inlineStr">
        <is>
          <t>Medium</t>
        </is>
      </c>
      <c r="M47" s="8" t="inlineStr">
        <is>
          <t>L1 Service Desk</t>
        </is>
      </c>
      <c r="N47" s="8" t="inlineStr">
        <is>
          <t>No</t>
        </is>
      </c>
      <c r="O47" s="8" t="inlineStr">
        <is>
          <t>Resolved</t>
        </is>
      </c>
      <c r="P47" s="10" t="n">
        <v>0.8</v>
      </c>
      <c r="Q47" s="10" t="n">
        <v>3.1</v>
      </c>
      <c r="R47" s="10" t="n">
        <v>8</v>
      </c>
      <c r="S47" s="8">
        <f>IF(OR(O47="Open",O47="In Progress"),"Pending",IF(Q47&lt;=R47,"Yes","No"))</f>
        <v/>
      </c>
      <c r="T47" s="8" t="inlineStr">
        <is>
          <t>New hire onboarding</t>
        </is>
      </c>
      <c r="U47" s="8" t="inlineStr">
        <is>
          <t>Created account and assigned baseline groups</t>
        </is>
      </c>
      <c r="V47" s="8" t="inlineStr">
        <is>
          <t>No</t>
        </is>
      </c>
    </row>
    <row r="48">
      <c r="A48" s="8" t="inlineStr">
        <is>
          <t>INC100046</t>
        </is>
      </c>
      <c r="B48" s="9" t="n">
        <v>46051.70833333334</v>
      </c>
      <c r="C48" s="8" t="inlineStr">
        <is>
          <t>Portal</t>
        </is>
      </c>
      <c r="D48" s="8" t="inlineStr">
        <is>
          <t>Priya Das</t>
        </is>
      </c>
      <c r="E48" s="8" t="inlineStr">
        <is>
          <t>UK</t>
        </is>
      </c>
      <c r="F48" s="8" t="inlineStr">
        <is>
          <t>Operations</t>
        </is>
      </c>
      <c r="G48" s="8" t="inlineStr">
        <is>
          <t>Laptop</t>
        </is>
      </c>
      <c r="H48" s="8" t="inlineStr">
        <is>
          <t>Need creation of new user account for onboarding</t>
        </is>
      </c>
      <c r="I48" s="8" t="inlineStr">
        <is>
          <t>Access</t>
        </is>
      </c>
      <c r="J48" s="8" t="inlineStr">
        <is>
          <t>User Creation</t>
        </is>
      </c>
      <c r="K48" s="8" t="inlineStr">
        <is>
          <t>Azure AD</t>
        </is>
      </c>
      <c r="L48" s="8" t="inlineStr">
        <is>
          <t>High</t>
        </is>
      </c>
      <c r="M48" s="8" t="inlineStr">
        <is>
          <t>L1 Service Desk</t>
        </is>
      </c>
      <c r="N48" s="8" t="inlineStr">
        <is>
          <t>No</t>
        </is>
      </c>
      <c r="O48" s="8" t="inlineStr">
        <is>
          <t>Resolved</t>
        </is>
      </c>
      <c r="P48" s="10" t="n">
        <v>0.7</v>
      </c>
      <c r="Q48" s="10" t="n">
        <v>2.1</v>
      </c>
      <c r="R48" s="10" t="n">
        <v>4</v>
      </c>
      <c r="S48" s="8">
        <f>IF(OR(O48="Open",O48="In Progress"),"Pending",IF(Q48&lt;=R48,"Yes","No"))</f>
        <v/>
      </c>
      <c r="T48" s="8" t="inlineStr">
        <is>
          <t>New hire onboarding</t>
        </is>
      </c>
      <c r="U48" s="8" t="inlineStr">
        <is>
          <t>Created account and assigned baseline groups</t>
        </is>
      </c>
      <c r="V48" s="8" t="inlineStr">
        <is>
          <t>No</t>
        </is>
      </c>
    </row>
    <row r="49">
      <c r="A49" s="8" t="inlineStr">
        <is>
          <t>INC100047</t>
        </is>
      </c>
      <c r="B49" s="9" t="n">
        <v>46069.08333333334</v>
      </c>
      <c r="C49" s="8" t="inlineStr">
        <is>
          <t>Phone</t>
        </is>
      </c>
      <c r="D49" s="8" t="inlineStr">
        <is>
          <t>Rahul Gupta</t>
        </is>
      </c>
      <c r="E49" s="8" t="inlineStr">
        <is>
          <t>APAC</t>
        </is>
      </c>
      <c r="F49" s="8" t="inlineStr">
        <is>
          <t>HR</t>
        </is>
      </c>
      <c r="G49" s="8" t="inlineStr">
        <is>
          <t>Laptop</t>
        </is>
      </c>
      <c r="H49" s="8" t="inlineStr">
        <is>
          <t>User account locked after failed logins</t>
        </is>
      </c>
      <c r="I49" s="8" t="inlineStr">
        <is>
          <t>Login</t>
        </is>
      </c>
      <c r="J49" s="8" t="inlineStr">
        <is>
          <t>Account Unlock</t>
        </is>
      </c>
      <c r="K49" s="8" t="inlineStr">
        <is>
          <t>Active Directory</t>
        </is>
      </c>
      <c r="L49" s="8" t="inlineStr">
        <is>
          <t>High</t>
        </is>
      </c>
      <c r="M49" s="8" t="inlineStr">
        <is>
          <t>L1 Service Desk</t>
        </is>
      </c>
      <c r="N49" s="8" t="inlineStr">
        <is>
          <t>No</t>
        </is>
      </c>
      <c r="O49" s="8" t="inlineStr">
        <is>
          <t>Resolved</t>
        </is>
      </c>
      <c r="P49" s="10" t="n">
        <v>1</v>
      </c>
      <c r="Q49" s="10" t="n">
        <v>5.6</v>
      </c>
      <c r="R49" s="10" t="n">
        <v>4</v>
      </c>
      <c r="S49" s="8">
        <f>IF(OR(O49="Open",O49="In Progress"),"Pending",IF(Q49&lt;=R49,"Yes","No"))</f>
        <v/>
      </c>
      <c r="T49" s="8" t="inlineStr">
        <is>
          <t>Repeated failed attempts</t>
        </is>
      </c>
      <c r="U49" s="8" t="inlineStr">
        <is>
          <t>Unlocked account and advised correct password usage</t>
        </is>
      </c>
      <c r="V49" s="8" t="inlineStr">
        <is>
          <t>No</t>
        </is>
      </c>
    </row>
    <row r="50">
      <c r="A50" s="8" t="inlineStr">
        <is>
          <t>INC100048</t>
        </is>
      </c>
      <c r="B50" s="9" t="n">
        <v>46095.80208333334</v>
      </c>
      <c r="C50" s="8" t="inlineStr">
        <is>
          <t>Chat</t>
        </is>
      </c>
      <c r="D50" s="8" t="inlineStr">
        <is>
          <t>Manoj Gupta</t>
        </is>
      </c>
      <c r="E50" s="8" t="inlineStr">
        <is>
          <t>APAC</t>
        </is>
      </c>
      <c r="F50" s="8" t="inlineStr">
        <is>
          <t>Legal</t>
        </is>
      </c>
      <c r="G50" s="8" t="inlineStr">
        <is>
          <t>Thin Client</t>
        </is>
      </c>
      <c r="H50" s="8" t="inlineStr">
        <is>
          <t>Unable to join Teams meeting from desktop app</t>
        </is>
      </c>
      <c r="I50" s="8" t="inlineStr">
        <is>
          <t>Software</t>
        </is>
      </c>
      <c r="J50" s="8" t="inlineStr">
        <is>
          <t>Teams Meeting</t>
        </is>
      </c>
      <c r="K50" s="8" t="inlineStr">
        <is>
          <t>Microsoft Teams</t>
        </is>
      </c>
      <c r="L50" s="8" t="inlineStr">
        <is>
          <t>Low</t>
        </is>
      </c>
      <c r="M50" s="8" t="inlineStr">
        <is>
          <t>L1 Service Desk</t>
        </is>
      </c>
      <c r="N50" s="8" t="inlineStr">
        <is>
          <t>No</t>
        </is>
      </c>
      <c r="O50" s="8" t="inlineStr">
        <is>
          <t>Closed</t>
        </is>
      </c>
      <c r="P50" s="10" t="n">
        <v>1.3</v>
      </c>
      <c r="Q50" s="10" t="n">
        <v>9.199999999999999</v>
      </c>
      <c r="R50" s="10" t="n">
        <v>16</v>
      </c>
      <c r="S50" s="8">
        <f>IF(OR(O50="Open",O50="In Progress"),"Pending",IF(Q50&lt;=R50,"Yes","No"))</f>
        <v/>
      </c>
      <c r="T50" s="8" t="inlineStr">
        <is>
          <t>Client cache / audio stack issue</t>
        </is>
      </c>
      <c r="U50" s="8" t="inlineStr">
        <is>
          <t>Reset Teams app and checked device permissions</t>
        </is>
      </c>
      <c r="V50" s="8" t="inlineStr">
        <is>
          <t>Yes</t>
        </is>
      </c>
    </row>
    <row r="51">
      <c r="A51" s="8" t="inlineStr">
        <is>
          <t>INC100049</t>
        </is>
      </c>
      <c r="B51" s="9" t="n">
        <v>46046.35416666666</v>
      </c>
      <c r="C51" s="8" t="inlineStr">
        <is>
          <t>Phone</t>
        </is>
      </c>
      <c r="D51" s="8" t="inlineStr">
        <is>
          <t>Rahul Patel</t>
        </is>
      </c>
      <c r="E51" s="8" t="inlineStr">
        <is>
          <t>US</t>
        </is>
      </c>
      <c r="F51" s="8" t="inlineStr">
        <is>
          <t>Operations</t>
        </is>
      </c>
      <c r="G51" s="8" t="inlineStr">
        <is>
          <t>Laptop</t>
        </is>
      </c>
      <c r="H51" s="8" t="inlineStr">
        <is>
          <t>OTP not received for sign-in verification</t>
        </is>
      </c>
      <c r="I51" s="8" t="inlineStr">
        <is>
          <t>Access</t>
        </is>
      </c>
      <c r="J51" s="8" t="inlineStr">
        <is>
          <t>OTP Failure</t>
        </is>
      </c>
      <c r="K51" s="8" t="inlineStr">
        <is>
          <t>Okta</t>
        </is>
      </c>
      <c r="L51" s="8" t="inlineStr">
        <is>
          <t>Medium</t>
        </is>
      </c>
      <c r="M51" s="8" t="inlineStr">
        <is>
          <t>L1 IAM Support</t>
        </is>
      </c>
      <c r="N51" s="8" t="inlineStr">
        <is>
          <t>No</t>
        </is>
      </c>
      <c r="O51" s="8" t="inlineStr">
        <is>
          <t>Resolved</t>
        </is>
      </c>
      <c r="P51" s="10" t="n">
        <v>1.1</v>
      </c>
      <c r="Q51" s="10" t="n">
        <v>5.2</v>
      </c>
      <c r="R51" s="10" t="n">
        <v>8</v>
      </c>
      <c r="S51" s="8">
        <f>IF(OR(O51="Open",O51="In Progress"),"Pending",IF(Q51&lt;=R51,"Yes","No"))</f>
        <v/>
      </c>
      <c r="T51" s="8" t="inlineStr">
        <is>
          <t>Outdated phone number</t>
        </is>
      </c>
      <c r="U51" s="8" t="inlineStr">
        <is>
          <t>Updated factor settings and retried verification</t>
        </is>
      </c>
      <c r="V51" s="8" t="inlineStr">
        <is>
          <t>Yes</t>
        </is>
      </c>
    </row>
    <row r="52">
      <c r="A52" s="8" t="inlineStr">
        <is>
          <t>INC100050</t>
        </is>
      </c>
      <c r="B52" s="9" t="n">
        <v>46052.48958333334</v>
      </c>
      <c r="C52" s="8" t="inlineStr">
        <is>
          <t>Email</t>
        </is>
      </c>
      <c r="D52" s="8" t="inlineStr">
        <is>
          <t>Rahul Jain</t>
        </is>
      </c>
      <c r="E52" s="8" t="inlineStr">
        <is>
          <t>US</t>
        </is>
      </c>
      <c r="F52" s="8" t="inlineStr">
        <is>
          <t>Procurement</t>
        </is>
      </c>
      <c r="G52" s="8" t="inlineStr">
        <is>
          <t>iPad</t>
        </is>
      </c>
      <c r="H52" s="8" t="inlineStr">
        <is>
          <t>System performance slow after updates</t>
        </is>
      </c>
      <c r="I52" s="8" t="inlineStr">
        <is>
          <t>Hardware</t>
        </is>
      </c>
      <c r="J52" s="8" t="inlineStr">
        <is>
          <t>Performance</t>
        </is>
      </c>
      <c r="K52" s="8" t="inlineStr">
        <is>
          <t>Windows</t>
        </is>
      </c>
      <c r="L52" s="8" t="inlineStr">
        <is>
          <t>Low</t>
        </is>
      </c>
      <c r="M52" s="8" t="inlineStr">
        <is>
          <t>L1 Endpoint Support</t>
        </is>
      </c>
      <c r="N52" s="8" t="inlineStr">
        <is>
          <t>Yes</t>
        </is>
      </c>
      <c r="O52" s="8" t="inlineStr">
        <is>
          <t>Resolved</t>
        </is>
      </c>
      <c r="P52" s="10" t="n">
        <v>2.2</v>
      </c>
      <c r="Q52" s="10" t="n">
        <v>14.8</v>
      </c>
      <c r="R52" s="10" t="n">
        <v>16</v>
      </c>
      <c r="S52" s="8">
        <f>IF(OR(O52="Open",O52="In Progress"),"Pending",IF(Q52&lt;=R52,"Yes","No"))</f>
        <v/>
      </c>
      <c r="T52" s="8" t="inlineStr">
        <is>
          <t>High startup load</t>
        </is>
      </c>
      <c r="U52" s="8" t="inlineStr">
        <is>
          <t>Optimized startup items and ran health checks</t>
        </is>
      </c>
      <c r="V52" s="8" t="inlineStr">
        <is>
          <t>No</t>
        </is>
      </c>
    </row>
    <row r="53">
      <c r="A53" s="8" t="inlineStr">
        <is>
          <t>INC100051</t>
        </is>
      </c>
      <c r="B53" s="9" t="n">
        <v>46042.47916666666</v>
      </c>
      <c r="C53" s="8" t="inlineStr">
        <is>
          <t>Phone</t>
        </is>
      </c>
      <c r="D53" s="8" t="inlineStr">
        <is>
          <t>Nikita Kapoor</t>
        </is>
      </c>
      <c r="E53" s="8" t="inlineStr">
        <is>
          <t>UK</t>
        </is>
      </c>
      <c r="F53" s="8" t="inlineStr">
        <is>
          <t>Legal</t>
        </is>
      </c>
      <c r="G53" s="8" t="inlineStr">
        <is>
          <t>Desktop</t>
        </is>
      </c>
      <c r="H53" s="8" t="inlineStr">
        <is>
          <t>VPN not connecting from remote location</t>
        </is>
      </c>
      <c r="I53" s="8" t="inlineStr">
        <is>
          <t>Access</t>
        </is>
      </c>
      <c r="J53" s="8" t="inlineStr">
        <is>
          <t>VPN Access</t>
        </is>
      </c>
      <c r="K53" s="8" t="inlineStr">
        <is>
          <t>VPN</t>
        </is>
      </c>
      <c r="L53" s="8" t="inlineStr">
        <is>
          <t>High</t>
        </is>
      </c>
      <c r="M53" s="8" t="inlineStr">
        <is>
          <t>L1 Service Desk</t>
        </is>
      </c>
      <c r="N53" s="8" t="inlineStr">
        <is>
          <t>No</t>
        </is>
      </c>
      <c r="O53" s="8" t="inlineStr">
        <is>
          <t>Closed</t>
        </is>
      </c>
      <c r="P53" s="10" t="n">
        <v>0.9</v>
      </c>
      <c r="Q53" s="10" t="n">
        <v>3.4</v>
      </c>
      <c r="R53" s="10" t="n">
        <v>4</v>
      </c>
      <c r="S53" s="8">
        <f>IF(OR(O53="Open",O53="In Progress"),"Pending",IF(Q53&lt;=R53,"Yes","No"))</f>
        <v/>
      </c>
      <c r="T53" s="8" t="inlineStr">
        <is>
          <t>VPN client profile corruption</t>
        </is>
      </c>
      <c r="U53" s="8" t="inlineStr">
        <is>
          <t>Reconfigured VPN profile and validated connection</t>
        </is>
      </c>
      <c r="V53" s="8" t="inlineStr">
        <is>
          <t>No</t>
        </is>
      </c>
    </row>
    <row r="54">
      <c r="A54" s="8" t="inlineStr">
        <is>
          <t>INC100052</t>
        </is>
      </c>
      <c r="B54" s="9" t="n">
        <v>46031.73958333334</v>
      </c>
      <c r="C54" s="8" t="inlineStr">
        <is>
          <t>Phone</t>
        </is>
      </c>
      <c r="D54" s="8" t="inlineStr">
        <is>
          <t>Ravi Singh</t>
        </is>
      </c>
      <c r="E54" s="8" t="inlineStr">
        <is>
          <t>UK</t>
        </is>
      </c>
      <c r="F54" s="8" t="inlineStr">
        <is>
          <t>Finance</t>
        </is>
      </c>
      <c r="G54" s="8" t="inlineStr">
        <is>
          <t>Laptop</t>
        </is>
      </c>
      <c r="H54" s="8" t="inlineStr">
        <is>
          <t>VPN not connecting from remote location</t>
        </is>
      </c>
      <c r="I54" s="8" t="inlineStr">
        <is>
          <t>Access</t>
        </is>
      </c>
      <c r="J54" s="8" t="inlineStr">
        <is>
          <t>VPN Access</t>
        </is>
      </c>
      <c r="K54" s="8" t="inlineStr">
        <is>
          <t>VPN</t>
        </is>
      </c>
      <c r="L54" s="8" t="inlineStr">
        <is>
          <t>Medium</t>
        </is>
      </c>
      <c r="M54" s="8" t="inlineStr">
        <is>
          <t>L1 Service Desk</t>
        </is>
      </c>
      <c r="N54" s="8" t="inlineStr">
        <is>
          <t>No</t>
        </is>
      </c>
      <c r="O54" s="8" t="inlineStr">
        <is>
          <t>Resolved</t>
        </is>
      </c>
      <c r="P54" s="10" t="n">
        <v>2.5</v>
      </c>
      <c r="Q54" s="10" t="n">
        <v>5.1</v>
      </c>
      <c r="R54" s="10" t="n">
        <v>8</v>
      </c>
      <c r="S54" s="8">
        <f>IF(OR(O54="Open",O54="In Progress"),"Pending",IF(Q54&lt;=R54,"Yes","No"))</f>
        <v/>
      </c>
      <c r="T54" s="8" t="inlineStr">
        <is>
          <t>VPN client profile corruption</t>
        </is>
      </c>
      <c r="U54" s="8" t="inlineStr">
        <is>
          <t>Reconfigured VPN profile and validated connection</t>
        </is>
      </c>
      <c r="V54" s="8" t="inlineStr">
        <is>
          <t>Yes</t>
        </is>
      </c>
    </row>
    <row r="55">
      <c r="A55" s="8" t="inlineStr">
        <is>
          <t>INC100053</t>
        </is>
      </c>
      <c r="B55" s="9" t="n">
        <v>46083.94791666666</v>
      </c>
      <c r="C55" s="8" t="inlineStr">
        <is>
          <t>Phone</t>
        </is>
      </c>
      <c r="D55" s="8" t="inlineStr">
        <is>
          <t>Vikram Patel</t>
        </is>
      </c>
      <c r="E55" s="8" t="inlineStr">
        <is>
          <t>APAC</t>
        </is>
      </c>
      <c r="F55" s="8" t="inlineStr">
        <is>
          <t>Legal</t>
        </is>
      </c>
      <c r="G55" s="8" t="inlineStr">
        <is>
          <t>iPad</t>
        </is>
      </c>
      <c r="H55" s="8" t="inlineStr">
        <is>
          <t>OS outdated and pending critical patches</t>
        </is>
      </c>
      <c r="I55" s="8" t="inlineStr">
        <is>
          <t>Compliance</t>
        </is>
      </c>
      <c r="J55" s="8" t="inlineStr">
        <is>
          <t>Patch Compliance</t>
        </is>
      </c>
      <c r="K55" s="8" t="inlineStr">
        <is>
          <t>Intune</t>
        </is>
      </c>
      <c r="L55" s="8" t="inlineStr">
        <is>
          <t>High</t>
        </is>
      </c>
      <c r="M55" s="8" t="inlineStr">
        <is>
          <t>L1 Endpoint Support</t>
        </is>
      </c>
      <c r="N55" s="8" t="inlineStr">
        <is>
          <t>No</t>
        </is>
      </c>
      <c r="O55" s="8" t="inlineStr">
        <is>
          <t>Closed</t>
        </is>
      </c>
      <c r="P55" s="10" t="n">
        <v>0.5</v>
      </c>
      <c r="Q55" s="10" t="n">
        <v>5.2</v>
      </c>
      <c r="R55" s="10" t="n">
        <v>4</v>
      </c>
      <c r="S55" s="8">
        <f>IF(OR(O55="Open",O55="In Progress"),"Pending",IF(Q55&lt;=R55,"Yes","No"))</f>
        <v/>
      </c>
      <c r="T55" s="8" t="inlineStr">
        <is>
          <t>Pending update ring</t>
        </is>
      </c>
      <c r="U55" s="8" t="inlineStr">
        <is>
          <t>Forced sync and scheduled patch installation</t>
        </is>
      </c>
      <c r="V55" s="8" t="inlineStr">
        <is>
          <t>No</t>
        </is>
      </c>
    </row>
    <row r="56">
      <c r="A56" s="8" t="inlineStr">
        <is>
          <t>INC100054</t>
        </is>
      </c>
      <c r="B56" s="9" t="n">
        <v>46070.60416666666</v>
      </c>
      <c r="C56" s="8" t="inlineStr">
        <is>
          <t>Phone</t>
        </is>
      </c>
      <c r="D56" s="8" t="inlineStr">
        <is>
          <t>Karthik Rao</t>
        </is>
      </c>
      <c r="E56" s="8" t="inlineStr">
        <is>
          <t>India</t>
        </is>
      </c>
      <c r="F56" s="8" t="inlineStr">
        <is>
          <t>Legal</t>
        </is>
      </c>
      <c r="G56" s="8" t="inlineStr">
        <is>
          <t>iPhone</t>
        </is>
      </c>
      <c r="H56" s="8" t="inlineStr">
        <is>
          <t>Device marked non-compliant in management portal</t>
        </is>
      </c>
      <c r="I56" s="8" t="inlineStr">
        <is>
          <t>Compliance</t>
        </is>
      </c>
      <c r="J56" s="8" t="inlineStr">
        <is>
          <t>Compliance Alert</t>
        </is>
      </c>
      <c r="K56" s="8" t="inlineStr">
        <is>
          <t>Intune</t>
        </is>
      </c>
      <c r="L56" s="8" t="inlineStr">
        <is>
          <t>High</t>
        </is>
      </c>
      <c r="M56" s="8" t="inlineStr">
        <is>
          <t>L1 Endpoint Support</t>
        </is>
      </c>
      <c r="N56" s="8" t="inlineStr">
        <is>
          <t>No</t>
        </is>
      </c>
      <c r="O56" s="8" t="inlineStr">
        <is>
          <t>Closed</t>
        </is>
      </c>
      <c r="P56" s="10" t="n">
        <v>0.5</v>
      </c>
      <c r="Q56" s="10" t="n">
        <v>3.5</v>
      </c>
      <c r="R56" s="10" t="n">
        <v>4</v>
      </c>
      <c r="S56" s="8">
        <f>IF(OR(O56="Open",O56="In Progress"),"Pending",IF(Q56&lt;=R56,"Yes","No"))</f>
        <v/>
      </c>
      <c r="T56" s="8" t="inlineStr">
        <is>
          <t>Encryption / policy mismatch</t>
        </is>
      </c>
      <c r="U56" s="8" t="inlineStr">
        <is>
          <t>Triggered policy sync and updated compliance state</t>
        </is>
      </c>
      <c r="V56" s="8" t="inlineStr">
        <is>
          <t>No</t>
        </is>
      </c>
    </row>
    <row r="57">
      <c r="A57" s="8" t="inlineStr">
        <is>
          <t>INC100055</t>
        </is>
      </c>
      <c r="B57" s="9" t="n">
        <v>46074.65625</v>
      </c>
      <c r="C57" s="8" t="inlineStr">
        <is>
          <t>Portal</t>
        </is>
      </c>
      <c r="D57" s="8" t="inlineStr">
        <is>
          <t>Pooja Sharma</t>
        </is>
      </c>
      <c r="E57" s="8" t="inlineStr">
        <is>
          <t>US</t>
        </is>
      </c>
      <c r="F57" s="8" t="inlineStr">
        <is>
          <t>IT</t>
        </is>
      </c>
      <c r="G57" s="8" t="inlineStr">
        <is>
          <t>iPhone</t>
        </is>
      </c>
      <c r="H57" s="8" t="inlineStr">
        <is>
          <t>Password reset required after expiry</t>
        </is>
      </c>
      <c r="I57" s="8" t="inlineStr">
        <is>
          <t>Login</t>
        </is>
      </c>
      <c r="J57" s="8" t="inlineStr">
        <is>
          <t>Password Reset</t>
        </is>
      </c>
      <c r="K57" s="8" t="inlineStr">
        <is>
          <t>Active Directory</t>
        </is>
      </c>
      <c r="L57" s="8" t="inlineStr">
        <is>
          <t>Medium</t>
        </is>
      </c>
      <c r="M57" s="8" t="inlineStr">
        <is>
          <t>L1 Service Desk</t>
        </is>
      </c>
      <c r="N57" s="8" t="inlineStr">
        <is>
          <t>Yes</t>
        </is>
      </c>
      <c r="O57" s="8" t="inlineStr">
        <is>
          <t>Closed</t>
        </is>
      </c>
      <c r="P57" s="10" t="n">
        <v>1.9</v>
      </c>
      <c r="Q57" s="10" t="n">
        <v>2.9</v>
      </c>
      <c r="R57" s="10" t="n">
        <v>8</v>
      </c>
      <c r="S57" s="8">
        <f>IF(OR(O57="Open",O57="In Progress"),"Pending",IF(Q57&lt;=R57,"Yes","No"))</f>
        <v/>
      </c>
      <c r="T57" s="8" t="inlineStr">
        <is>
          <t>Password policy expiry</t>
        </is>
      </c>
      <c r="U57" s="8" t="inlineStr">
        <is>
          <t>Reset password in AD and confirmed sign-in</t>
        </is>
      </c>
      <c r="V57" s="8" t="inlineStr">
        <is>
          <t>No</t>
        </is>
      </c>
    </row>
    <row r="58">
      <c r="A58" s="8" t="inlineStr">
        <is>
          <t>INC100056</t>
        </is>
      </c>
      <c r="B58" s="9" t="n">
        <v>46069.66666666666</v>
      </c>
      <c r="C58" s="8" t="inlineStr">
        <is>
          <t>Chat</t>
        </is>
      </c>
      <c r="D58" s="8" t="inlineStr">
        <is>
          <t>Aarav Jain</t>
        </is>
      </c>
      <c r="E58" s="8" t="inlineStr">
        <is>
          <t>US</t>
        </is>
      </c>
      <c r="F58" s="8" t="inlineStr">
        <is>
          <t>Operations</t>
        </is>
      </c>
      <c r="G58" s="8" t="inlineStr">
        <is>
          <t>Thin Client</t>
        </is>
      </c>
      <c r="H58" s="8" t="inlineStr">
        <is>
          <t>Antivirus disabled warning on endpoint</t>
        </is>
      </c>
      <c r="I58" s="8" t="inlineStr">
        <is>
          <t>Compliance</t>
        </is>
      </c>
      <c r="J58" s="8" t="inlineStr">
        <is>
          <t>Security Alert</t>
        </is>
      </c>
      <c r="K58" s="8" t="inlineStr">
        <is>
          <t>Intune</t>
        </is>
      </c>
      <c r="L58" s="8" t="inlineStr">
        <is>
          <t>High</t>
        </is>
      </c>
      <c r="M58" s="8" t="inlineStr">
        <is>
          <t>L1 Endpoint Support</t>
        </is>
      </c>
      <c r="N58" s="8" t="inlineStr">
        <is>
          <t>Yes</t>
        </is>
      </c>
      <c r="O58" s="8" t="inlineStr">
        <is>
          <t>Resolved</t>
        </is>
      </c>
      <c r="P58" s="10" t="n">
        <v>0.7</v>
      </c>
      <c r="Q58" s="10" t="n">
        <v>1.2</v>
      </c>
      <c r="R58" s="10" t="n">
        <v>4</v>
      </c>
      <c r="S58" s="8">
        <f>IF(OR(O58="Open",O58="In Progress"),"Pending",IF(Q58&lt;=R58,"Yes","No"))</f>
        <v/>
      </c>
      <c r="T58" s="8" t="inlineStr">
        <is>
          <t>Protection service stopped</t>
        </is>
      </c>
      <c r="U58" s="8" t="inlineStr">
        <is>
          <t>Restarted endpoint protection service and rechecked</t>
        </is>
      </c>
      <c r="V58" s="8" t="inlineStr">
        <is>
          <t>No</t>
        </is>
      </c>
    </row>
    <row r="59">
      <c r="A59" s="8" t="inlineStr">
        <is>
          <t>INC100057</t>
        </is>
      </c>
      <c r="B59" s="9" t="n">
        <v>46083.59375</v>
      </c>
      <c r="C59" s="8" t="inlineStr">
        <is>
          <t>Portal</t>
        </is>
      </c>
      <c r="D59" s="8" t="inlineStr">
        <is>
          <t>Isha Joshi</t>
        </is>
      </c>
      <c r="E59" s="8" t="inlineStr">
        <is>
          <t>UK</t>
        </is>
      </c>
      <c r="F59" s="8" t="inlineStr">
        <is>
          <t>Procurement</t>
        </is>
      </c>
      <c r="G59" s="8" t="inlineStr">
        <is>
          <t>iPad</t>
        </is>
      </c>
      <c r="H59" s="8" t="inlineStr">
        <is>
          <t>Antivirus disabled warning on endpoint</t>
        </is>
      </c>
      <c r="I59" s="8" t="inlineStr">
        <is>
          <t>Compliance</t>
        </is>
      </c>
      <c r="J59" s="8" t="inlineStr">
        <is>
          <t>Security Alert</t>
        </is>
      </c>
      <c r="K59" s="8" t="inlineStr">
        <is>
          <t>Intune</t>
        </is>
      </c>
      <c r="L59" s="8" t="inlineStr">
        <is>
          <t>High</t>
        </is>
      </c>
      <c r="M59" s="8" t="inlineStr">
        <is>
          <t>L1 Endpoint Support</t>
        </is>
      </c>
      <c r="N59" s="8" t="inlineStr">
        <is>
          <t>Yes</t>
        </is>
      </c>
      <c r="O59" s="8" t="inlineStr">
        <is>
          <t>Closed</t>
        </is>
      </c>
      <c r="P59" s="10" t="n">
        <v>0.4</v>
      </c>
      <c r="Q59" s="10" t="n">
        <v>3.4</v>
      </c>
      <c r="R59" s="10" t="n">
        <v>4</v>
      </c>
      <c r="S59" s="8">
        <f>IF(OR(O59="Open",O59="In Progress"),"Pending",IF(Q59&lt;=R59,"Yes","No"))</f>
        <v/>
      </c>
      <c r="T59" s="8" t="inlineStr">
        <is>
          <t>Protection service stopped</t>
        </is>
      </c>
      <c r="U59" s="8" t="inlineStr">
        <is>
          <t>Restarted endpoint protection service and rechecked</t>
        </is>
      </c>
      <c r="V59" s="8" t="inlineStr">
        <is>
          <t>No</t>
        </is>
      </c>
    </row>
    <row r="60">
      <c r="A60" s="8" t="inlineStr">
        <is>
          <t>INC100058</t>
        </is>
      </c>
      <c r="B60" s="9" t="n">
        <v>46039.95833333334</v>
      </c>
      <c r="C60" s="8" t="inlineStr">
        <is>
          <t>Chat</t>
        </is>
      </c>
      <c r="D60" s="8" t="inlineStr">
        <is>
          <t>Vikram Verma</t>
        </is>
      </c>
      <c r="E60" s="8" t="inlineStr">
        <is>
          <t>APAC</t>
        </is>
      </c>
      <c r="F60" s="8" t="inlineStr">
        <is>
          <t>IT</t>
        </is>
      </c>
      <c r="G60" s="8" t="inlineStr">
        <is>
          <t>Laptop</t>
        </is>
      </c>
      <c r="H60" s="8" t="inlineStr">
        <is>
          <t>Account needs disablement after employee exit</t>
        </is>
      </c>
      <c r="I60" s="8" t="inlineStr">
        <is>
          <t>Access</t>
        </is>
      </c>
      <c r="J60" s="8" t="inlineStr">
        <is>
          <t>Offboarding</t>
        </is>
      </c>
      <c r="K60" s="8" t="inlineStr">
        <is>
          <t>Active Directory</t>
        </is>
      </c>
      <c r="L60" s="8" t="inlineStr">
        <is>
          <t>Medium</t>
        </is>
      </c>
      <c r="M60" s="8" t="inlineStr">
        <is>
          <t>L1 Service Desk</t>
        </is>
      </c>
      <c r="N60" s="8" t="inlineStr">
        <is>
          <t>No</t>
        </is>
      </c>
      <c r="O60" s="8" t="inlineStr">
        <is>
          <t>Closed</t>
        </is>
      </c>
      <c r="P60" s="10" t="n">
        <v>1.8</v>
      </c>
      <c r="Q60" s="10" t="n">
        <v>6.2</v>
      </c>
      <c r="R60" s="10" t="n">
        <v>8</v>
      </c>
      <c r="S60" s="8">
        <f>IF(OR(O60="Open",O60="In Progress"),"Pending",IF(Q60&lt;=R60,"Yes","No"))</f>
        <v/>
      </c>
      <c r="T60" s="8" t="inlineStr">
        <is>
          <t>Offboarding request received</t>
        </is>
      </c>
      <c r="U60" s="8" t="inlineStr">
        <is>
          <t>Disabled account and removed active sessions</t>
        </is>
      </c>
      <c r="V60" s="8" t="inlineStr">
        <is>
          <t>No</t>
        </is>
      </c>
    </row>
    <row r="61">
      <c r="A61" s="8" t="inlineStr">
        <is>
          <t>INC100059</t>
        </is>
      </c>
      <c r="B61" s="9" t="n">
        <v>46074.32291666666</v>
      </c>
      <c r="C61" s="8" t="inlineStr">
        <is>
          <t>Chat</t>
        </is>
      </c>
      <c r="D61" s="8" t="inlineStr">
        <is>
          <t>Divya Mehta</t>
        </is>
      </c>
      <c r="E61" s="8" t="inlineStr">
        <is>
          <t>APAC</t>
        </is>
      </c>
      <c r="F61" s="8" t="inlineStr">
        <is>
          <t>Legal</t>
        </is>
      </c>
      <c r="G61" s="8" t="inlineStr">
        <is>
          <t>Desktop</t>
        </is>
      </c>
      <c r="H61" s="8" t="inlineStr">
        <is>
          <t>Teams login failure after password change</t>
        </is>
      </c>
      <c r="I61" s="8" t="inlineStr">
        <is>
          <t>Software</t>
        </is>
      </c>
      <c r="J61" s="8" t="inlineStr">
        <is>
          <t>Teams Login</t>
        </is>
      </c>
      <c r="K61" s="8" t="inlineStr">
        <is>
          <t>Microsoft Teams</t>
        </is>
      </c>
      <c r="L61" s="8" t="inlineStr">
        <is>
          <t>Medium</t>
        </is>
      </c>
      <c r="M61" s="8" t="inlineStr">
        <is>
          <t>L1 Service Desk</t>
        </is>
      </c>
      <c r="N61" s="8" t="inlineStr">
        <is>
          <t>Yes</t>
        </is>
      </c>
      <c r="O61" s="8" t="inlineStr">
        <is>
          <t>Resolved</t>
        </is>
      </c>
      <c r="P61" s="10" t="n">
        <v>1.5</v>
      </c>
      <c r="Q61" s="10" t="n">
        <v>3.2</v>
      </c>
      <c r="R61" s="10" t="n">
        <v>8</v>
      </c>
      <c r="S61" s="8">
        <f>IF(OR(O61="Open",O61="In Progress"),"Pending",IF(Q61&lt;=R61,"Yes","No"))</f>
        <v/>
      </c>
      <c r="T61" s="8" t="inlineStr">
        <is>
          <t>Cached credentials mismatch</t>
        </is>
      </c>
      <c r="U61" s="8" t="inlineStr">
        <is>
          <t>Cleared Teams cache and reauthenticated</t>
        </is>
      </c>
      <c r="V61" s="8" t="inlineStr">
        <is>
          <t>No</t>
        </is>
      </c>
    </row>
    <row r="62">
      <c r="A62" s="8" t="inlineStr">
        <is>
          <t>INC100060</t>
        </is>
      </c>
      <c r="B62" s="9" t="n">
        <v>46068.69791666666</v>
      </c>
      <c r="C62" s="8" t="inlineStr">
        <is>
          <t>Phone</t>
        </is>
      </c>
      <c r="D62" s="8" t="inlineStr">
        <is>
          <t>Karthik Jain</t>
        </is>
      </c>
      <c r="E62" s="8" t="inlineStr">
        <is>
          <t>US</t>
        </is>
      </c>
      <c r="F62" s="8" t="inlineStr">
        <is>
          <t>Legal</t>
        </is>
      </c>
      <c r="G62" s="8" t="inlineStr">
        <is>
          <t>Desktop</t>
        </is>
      </c>
      <c r="H62" s="8" t="inlineStr">
        <is>
          <t>Printer not responding for shared queue</t>
        </is>
      </c>
      <c r="I62" s="8" t="inlineStr">
        <is>
          <t>Hardware</t>
        </is>
      </c>
      <c r="J62" s="8" t="inlineStr">
        <is>
          <t>Printer Issue</t>
        </is>
      </c>
      <c r="K62" s="8" t="inlineStr">
        <is>
          <t>Printer</t>
        </is>
      </c>
      <c r="L62" s="8" t="inlineStr">
        <is>
          <t>Low</t>
        </is>
      </c>
      <c r="M62" s="8" t="inlineStr">
        <is>
          <t>L1 Endpoint Support</t>
        </is>
      </c>
      <c r="N62" s="8" t="inlineStr">
        <is>
          <t>No</t>
        </is>
      </c>
      <c r="O62" s="8" t="inlineStr">
        <is>
          <t>Closed</t>
        </is>
      </c>
      <c r="P62" s="10" t="n">
        <v>3.5</v>
      </c>
      <c r="Q62" s="10" t="n">
        <v>12.7</v>
      </c>
      <c r="R62" s="10" t="n">
        <v>16</v>
      </c>
      <c r="S62" s="8">
        <f>IF(OR(O62="Open",O62="In Progress"),"Pending",IF(Q62&lt;=R62,"Yes","No"))</f>
        <v/>
      </c>
      <c r="T62" s="8" t="inlineStr">
        <is>
          <t>Driver / spooler issue</t>
        </is>
      </c>
      <c r="U62" s="8" t="inlineStr">
        <is>
          <t>Restarted spooler and reinstalled driver</t>
        </is>
      </c>
      <c r="V62" s="8" t="inlineStr">
        <is>
          <t>No</t>
        </is>
      </c>
    </row>
    <row r="63">
      <c r="A63" s="8" t="inlineStr">
        <is>
          <t>INC100061</t>
        </is>
      </c>
      <c r="B63" s="9" t="n">
        <v>46040.65625</v>
      </c>
      <c r="C63" s="8" t="inlineStr">
        <is>
          <t>Chat</t>
        </is>
      </c>
      <c r="D63" s="8" t="inlineStr">
        <is>
          <t>Kiran Reddy</t>
        </is>
      </c>
      <c r="E63" s="8" t="inlineStr">
        <is>
          <t>APAC</t>
        </is>
      </c>
      <c r="F63" s="8" t="inlineStr">
        <is>
          <t>Procurement</t>
        </is>
      </c>
      <c r="G63" s="8" t="inlineStr">
        <is>
          <t>iPhone</t>
        </is>
      </c>
      <c r="H63" s="8" t="inlineStr">
        <is>
          <t>Password reset required after expiry</t>
        </is>
      </c>
      <c r="I63" s="8" t="inlineStr">
        <is>
          <t>Login</t>
        </is>
      </c>
      <c r="J63" s="8" t="inlineStr">
        <is>
          <t>Password Reset</t>
        </is>
      </c>
      <c r="K63" s="8" t="inlineStr">
        <is>
          <t>Active Directory</t>
        </is>
      </c>
      <c r="L63" s="8" t="inlineStr">
        <is>
          <t>Medium</t>
        </is>
      </c>
      <c r="M63" s="8" t="inlineStr">
        <is>
          <t>L1 Service Desk</t>
        </is>
      </c>
      <c r="N63" s="8" t="inlineStr">
        <is>
          <t>No</t>
        </is>
      </c>
      <c r="O63" s="8" t="inlineStr">
        <is>
          <t>Closed</t>
        </is>
      </c>
      <c r="P63" s="10" t="n">
        <v>1.7</v>
      </c>
      <c r="Q63" s="10" t="n">
        <v>6.3</v>
      </c>
      <c r="R63" s="10" t="n">
        <v>8</v>
      </c>
      <c r="S63" s="8">
        <f>IF(OR(O63="Open",O63="In Progress"),"Pending",IF(Q63&lt;=R63,"Yes","No"))</f>
        <v/>
      </c>
      <c r="T63" s="8" t="inlineStr">
        <is>
          <t>Password policy expiry</t>
        </is>
      </c>
      <c r="U63" s="8" t="inlineStr">
        <is>
          <t>Reset password in AD and confirmed sign-in</t>
        </is>
      </c>
      <c r="V63" s="8" t="inlineStr">
        <is>
          <t>No</t>
        </is>
      </c>
    </row>
    <row r="64">
      <c r="A64" s="8" t="inlineStr">
        <is>
          <t>INC100062</t>
        </is>
      </c>
      <c r="B64" s="9" t="n">
        <v>46089.65625</v>
      </c>
      <c r="C64" s="8" t="inlineStr">
        <is>
          <t>Chat</t>
        </is>
      </c>
      <c r="D64" s="8" t="inlineStr">
        <is>
          <t>Lavanya Sharma</t>
        </is>
      </c>
      <c r="E64" s="8" t="inlineStr">
        <is>
          <t>India</t>
        </is>
      </c>
      <c r="F64" s="8" t="inlineStr">
        <is>
          <t>Sales</t>
        </is>
      </c>
      <c r="G64" s="8" t="inlineStr">
        <is>
          <t>Desktop</t>
        </is>
      </c>
      <c r="H64" s="8" t="inlineStr">
        <is>
          <t>Printer not responding for shared queue</t>
        </is>
      </c>
      <c r="I64" s="8" t="inlineStr">
        <is>
          <t>Hardware</t>
        </is>
      </c>
      <c r="J64" s="8" t="inlineStr">
        <is>
          <t>Printer Issue</t>
        </is>
      </c>
      <c r="K64" s="8" t="inlineStr">
        <is>
          <t>Printer</t>
        </is>
      </c>
      <c r="L64" s="8" t="inlineStr">
        <is>
          <t>Low</t>
        </is>
      </c>
      <c r="M64" s="8" t="inlineStr">
        <is>
          <t>L1 Endpoint Support</t>
        </is>
      </c>
      <c r="N64" s="8" t="inlineStr">
        <is>
          <t>Yes</t>
        </is>
      </c>
      <c r="O64" s="8" t="inlineStr">
        <is>
          <t>Resolved</t>
        </is>
      </c>
      <c r="P64" s="10" t="n">
        <v>1.8</v>
      </c>
      <c r="Q64" s="10" t="n">
        <v>2.9</v>
      </c>
      <c r="R64" s="10" t="n">
        <v>16</v>
      </c>
      <c r="S64" s="8">
        <f>IF(OR(O64="Open",O64="In Progress"),"Pending",IF(Q64&lt;=R64,"Yes","No"))</f>
        <v/>
      </c>
      <c r="T64" s="8" t="inlineStr">
        <is>
          <t>Driver / spooler issue</t>
        </is>
      </c>
      <c r="U64" s="8" t="inlineStr">
        <is>
          <t>Restarted spooler and reinstalled driver</t>
        </is>
      </c>
      <c r="V64" s="8" t="inlineStr">
        <is>
          <t>No</t>
        </is>
      </c>
    </row>
    <row r="65">
      <c r="A65" s="8" t="inlineStr">
        <is>
          <t>INC100063</t>
        </is>
      </c>
      <c r="B65" s="9" t="n">
        <v>46087.5625</v>
      </c>
      <c r="C65" s="8" t="inlineStr">
        <is>
          <t>Chat</t>
        </is>
      </c>
      <c r="D65" s="8" t="inlineStr">
        <is>
          <t>Aarav Sharma</t>
        </is>
      </c>
      <c r="E65" s="8" t="inlineStr">
        <is>
          <t>UK</t>
        </is>
      </c>
      <c r="F65" s="8" t="inlineStr">
        <is>
          <t>Finance</t>
        </is>
      </c>
      <c r="G65" s="8" t="inlineStr">
        <is>
          <t>iPhone</t>
        </is>
      </c>
      <c r="H65" s="8" t="inlineStr">
        <is>
          <t>Antivirus disabled warning on endpoint</t>
        </is>
      </c>
      <c r="I65" s="8" t="inlineStr">
        <is>
          <t>Compliance</t>
        </is>
      </c>
      <c r="J65" s="8" t="inlineStr">
        <is>
          <t>Security Alert</t>
        </is>
      </c>
      <c r="K65" s="8" t="inlineStr">
        <is>
          <t>Intune</t>
        </is>
      </c>
      <c r="L65" s="8" t="inlineStr">
        <is>
          <t>High</t>
        </is>
      </c>
      <c r="M65" s="8" t="inlineStr">
        <is>
          <t>L1 Endpoint Support</t>
        </is>
      </c>
      <c r="N65" s="8" t="inlineStr">
        <is>
          <t>No</t>
        </is>
      </c>
      <c r="O65" s="8" t="inlineStr">
        <is>
          <t>Closed</t>
        </is>
      </c>
      <c r="P65" s="10" t="n">
        <v>0.6</v>
      </c>
      <c r="Q65" s="10" t="n">
        <v>1.5</v>
      </c>
      <c r="R65" s="10" t="n">
        <v>4</v>
      </c>
      <c r="S65" s="8">
        <f>IF(OR(O65="Open",O65="In Progress"),"Pending",IF(Q65&lt;=R65,"Yes","No"))</f>
        <v/>
      </c>
      <c r="T65" s="8" t="inlineStr">
        <is>
          <t>Protection service stopped</t>
        </is>
      </c>
      <c r="U65" s="8" t="inlineStr">
        <is>
          <t>Restarted endpoint protection service and rechecked</t>
        </is>
      </c>
      <c r="V65" s="8" t="inlineStr">
        <is>
          <t>No</t>
        </is>
      </c>
    </row>
    <row r="66">
      <c r="A66" s="8" t="inlineStr">
        <is>
          <t>INC100064</t>
        </is>
      </c>
      <c r="B66" s="9" t="n">
        <v>46043.25</v>
      </c>
      <c r="C66" s="8" t="inlineStr">
        <is>
          <t>Portal</t>
        </is>
      </c>
      <c r="D66" s="8" t="inlineStr">
        <is>
          <t>Nikita Rao</t>
        </is>
      </c>
      <c r="E66" s="8" t="inlineStr">
        <is>
          <t>APAC</t>
        </is>
      </c>
      <c r="F66" s="8" t="inlineStr">
        <is>
          <t>Sales</t>
        </is>
      </c>
      <c r="G66" s="8" t="inlineStr">
        <is>
          <t>iPhone</t>
        </is>
      </c>
      <c r="H66" s="8" t="inlineStr">
        <is>
          <t>MFA push not received on mobile device</t>
        </is>
      </c>
      <c r="I66" s="8" t="inlineStr">
        <is>
          <t>Access</t>
        </is>
      </c>
      <c r="J66" s="8" t="inlineStr">
        <is>
          <t>MFA Failure</t>
        </is>
      </c>
      <c r="K66" s="8" t="inlineStr">
        <is>
          <t>Okta</t>
        </is>
      </c>
      <c r="L66" s="8" t="inlineStr">
        <is>
          <t>High</t>
        </is>
      </c>
      <c r="M66" s="8" t="inlineStr">
        <is>
          <t>L1 IAM Support</t>
        </is>
      </c>
      <c r="N66" s="8" t="inlineStr">
        <is>
          <t>No</t>
        </is>
      </c>
      <c r="O66" s="8" t="inlineStr">
        <is>
          <t>Resolved</t>
        </is>
      </c>
      <c r="P66" s="10" t="n">
        <v>0.4</v>
      </c>
      <c r="Q66" s="10" t="n">
        <v>2.6</v>
      </c>
      <c r="R66" s="10" t="n">
        <v>4</v>
      </c>
      <c r="S66" s="8">
        <f>IF(OR(O66="Open",O66="In Progress"),"Pending",IF(Q66&lt;=R66,"Yes","No"))</f>
        <v/>
      </c>
      <c r="T66" s="8" t="inlineStr">
        <is>
          <t>Device not enrolled correctly</t>
        </is>
      </c>
      <c r="U66" s="8" t="inlineStr">
        <is>
          <t>Re-enrolled MFA in Okta and tested push</t>
        </is>
      </c>
      <c r="V66" s="8" t="inlineStr">
        <is>
          <t>Yes</t>
        </is>
      </c>
    </row>
    <row r="67">
      <c r="A67" s="8" t="inlineStr">
        <is>
          <t>INC100065</t>
        </is>
      </c>
      <c r="B67" s="9" t="n">
        <v>46086.13541666666</v>
      </c>
      <c r="C67" s="8" t="inlineStr">
        <is>
          <t>Portal</t>
        </is>
      </c>
      <c r="D67" s="8" t="inlineStr">
        <is>
          <t>Rahul Nair</t>
        </is>
      </c>
      <c r="E67" s="8" t="inlineStr">
        <is>
          <t>UK</t>
        </is>
      </c>
      <c r="F67" s="8" t="inlineStr">
        <is>
          <t>Procurement</t>
        </is>
      </c>
      <c r="G67" s="8" t="inlineStr">
        <is>
          <t>iPhone</t>
        </is>
      </c>
      <c r="H67" s="8" t="inlineStr">
        <is>
          <t>Antivirus disabled warning on endpoint</t>
        </is>
      </c>
      <c r="I67" s="8" t="inlineStr">
        <is>
          <t>Compliance</t>
        </is>
      </c>
      <c r="J67" s="8" t="inlineStr">
        <is>
          <t>Security Alert</t>
        </is>
      </c>
      <c r="K67" s="8" t="inlineStr">
        <is>
          <t>Intune</t>
        </is>
      </c>
      <c r="L67" s="8" t="inlineStr">
        <is>
          <t>Medium</t>
        </is>
      </c>
      <c r="M67" s="8" t="inlineStr">
        <is>
          <t>L1 Endpoint Support</t>
        </is>
      </c>
      <c r="N67" s="8" t="inlineStr">
        <is>
          <t>No</t>
        </is>
      </c>
      <c r="O67" s="8" t="inlineStr">
        <is>
          <t>Closed</t>
        </is>
      </c>
      <c r="P67" s="10" t="n">
        <v>2.1</v>
      </c>
      <c r="Q67" s="10" t="n">
        <v>2.1</v>
      </c>
      <c r="R67" s="10" t="n">
        <v>8</v>
      </c>
      <c r="S67" s="8">
        <f>IF(OR(O67="Open",O67="In Progress"),"Pending",IF(Q67&lt;=R67,"Yes","No"))</f>
        <v/>
      </c>
      <c r="T67" s="8" t="inlineStr">
        <is>
          <t>Protection service stopped</t>
        </is>
      </c>
      <c r="U67" s="8" t="inlineStr">
        <is>
          <t>Restarted endpoint protection service and rechecked</t>
        </is>
      </c>
      <c r="V67" s="8" t="inlineStr">
        <is>
          <t>No</t>
        </is>
      </c>
    </row>
    <row r="68">
      <c r="A68" s="8" t="inlineStr">
        <is>
          <t>INC100066</t>
        </is>
      </c>
      <c r="B68" s="9" t="n">
        <v>46060.89583333334</v>
      </c>
      <c r="C68" s="8" t="inlineStr">
        <is>
          <t>Portal</t>
        </is>
      </c>
      <c r="D68" s="8" t="inlineStr">
        <is>
          <t>Tarun Iyer</t>
        </is>
      </c>
      <c r="E68" s="8" t="inlineStr">
        <is>
          <t>UK</t>
        </is>
      </c>
      <c r="F68" s="8" t="inlineStr">
        <is>
          <t>Finance</t>
        </is>
      </c>
      <c r="G68" s="8" t="inlineStr">
        <is>
          <t>iPhone</t>
        </is>
      </c>
      <c r="H68" s="8" t="inlineStr">
        <is>
          <t>Outlook not opening on startup</t>
        </is>
      </c>
      <c r="I68" s="8" t="inlineStr">
        <is>
          <t>Software</t>
        </is>
      </c>
      <c r="J68" s="8" t="inlineStr">
        <is>
          <t>Outlook Issue</t>
        </is>
      </c>
      <c r="K68" s="8" t="inlineStr">
        <is>
          <t>Microsoft Office</t>
        </is>
      </c>
      <c r="L68" s="8" t="inlineStr">
        <is>
          <t>Medium</t>
        </is>
      </c>
      <c r="M68" s="8" t="inlineStr">
        <is>
          <t>L1 Service Desk</t>
        </is>
      </c>
      <c r="N68" s="8" t="inlineStr">
        <is>
          <t>No</t>
        </is>
      </c>
      <c r="O68" s="8" t="inlineStr">
        <is>
          <t>Resolved</t>
        </is>
      </c>
      <c r="P68" s="10" t="n">
        <v>1.5</v>
      </c>
      <c r="Q68" s="10" t="n">
        <v>5.2</v>
      </c>
      <c r="R68" s="10" t="n">
        <v>8</v>
      </c>
      <c r="S68" s="8">
        <f>IF(OR(O68="Open",O68="In Progress"),"Pending",IF(Q68&lt;=R68,"Yes","No"))</f>
        <v/>
      </c>
      <c r="T68" s="8" t="inlineStr">
        <is>
          <t>Corrupt Office add-in</t>
        </is>
      </c>
      <c r="U68" s="8" t="inlineStr">
        <is>
          <t>Started in safe mode and repaired Office</t>
        </is>
      </c>
      <c r="V68" s="8" t="inlineStr">
        <is>
          <t>No</t>
        </is>
      </c>
    </row>
    <row r="69">
      <c r="A69" s="8" t="inlineStr">
        <is>
          <t>INC100067</t>
        </is>
      </c>
      <c r="B69" s="9" t="n">
        <v>46080.14583333334</v>
      </c>
      <c r="C69" s="8" t="inlineStr">
        <is>
          <t>Email</t>
        </is>
      </c>
      <c r="D69" s="8" t="inlineStr">
        <is>
          <t>Meera Jain</t>
        </is>
      </c>
      <c r="E69" s="8" t="inlineStr">
        <is>
          <t>US</t>
        </is>
      </c>
      <c r="F69" s="8" t="inlineStr">
        <is>
          <t>Procurement</t>
        </is>
      </c>
      <c r="G69" s="8" t="inlineStr">
        <is>
          <t>Laptop</t>
        </is>
      </c>
      <c r="H69" s="8" t="inlineStr">
        <is>
          <t>System performance slow after updates</t>
        </is>
      </c>
      <c r="I69" s="8" t="inlineStr">
        <is>
          <t>Hardware</t>
        </is>
      </c>
      <c r="J69" s="8" t="inlineStr">
        <is>
          <t>Performance</t>
        </is>
      </c>
      <c r="K69" s="8" t="inlineStr">
        <is>
          <t>Windows</t>
        </is>
      </c>
      <c r="L69" s="8" t="inlineStr">
        <is>
          <t>Medium</t>
        </is>
      </c>
      <c r="M69" s="8" t="inlineStr">
        <is>
          <t>L1 Endpoint Support</t>
        </is>
      </c>
      <c r="N69" s="8" t="inlineStr">
        <is>
          <t>No</t>
        </is>
      </c>
      <c r="O69" s="8" t="inlineStr">
        <is>
          <t>Resolved</t>
        </is>
      </c>
      <c r="P69" s="10" t="n">
        <v>0.8</v>
      </c>
      <c r="Q69" s="10" t="n">
        <v>3.6</v>
      </c>
      <c r="R69" s="10" t="n">
        <v>8</v>
      </c>
      <c r="S69" s="8">
        <f>IF(OR(O69="Open",O69="In Progress"),"Pending",IF(Q69&lt;=R69,"Yes","No"))</f>
        <v/>
      </c>
      <c r="T69" s="8" t="inlineStr">
        <is>
          <t>High startup load</t>
        </is>
      </c>
      <c r="U69" s="8" t="inlineStr">
        <is>
          <t>Optimized startup items and ran health checks</t>
        </is>
      </c>
      <c r="V69" s="8" t="inlineStr">
        <is>
          <t>Yes</t>
        </is>
      </c>
    </row>
    <row r="70">
      <c r="A70" s="8" t="inlineStr">
        <is>
          <t>INC100068</t>
        </is>
      </c>
      <c r="B70" s="9" t="n">
        <v>46056.23958333334</v>
      </c>
      <c r="C70" s="8" t="inlineStr">
        <is>
          <t>Chat</t>
        </is>
      </c>
      <c r="D70" s="8" t="inlineStr">
        <is>
          <t>Neha Kumar</t>
        </is>
      </c>
      <c r="E70" s="8" t="inlineStr">
        <is>
          <t>US</t>
        </is>
      </c>
      <c r="F70" s="8" t="inlineStr">
        <is>
          <t>IT</t>
        </is>
      </c>
      <c r="G70" s="8" t="inlineStr">
        <is>
          <t>Laptop</t>
        </is>
      </c>
      <c r="H70" s="8" t="inlineStr">
        <is>
          <t>VPN not connecting from remote location</t>
        </is>
      </c>
      <c r="I70" s="8" t="inlineStr">
        <is>
          <t>Access</t>
        </is>
      </c>
      <c r="J70" s="8" t="inlineStr">
        <is>
          <t>VPN Access</t>
        </is>
      </c>
      <c r="K70" s="8" t="inlineStr">
        <is>
          <t>VPN</t>
        </is>
      </c>
      <c r="L70" s="8" t="inlineStr">
        <is>
          <t>Medium</t>
        </is>
      </c>
      <c r="M70" s="8" t="inlineStr">
        <is>
          <t>L1 Service Desk</t>
        </is>
      </c>
      <c r="N70" s="8" t="inlineStr">
        <is>
          <t>No</t>
        </is>
      </c>
      <c r="O70" s="8" t="inlineStr">
        <is>
          <t>Closed</t>
        </is>
      </c>
      <c r="P70" s="10" t="n">
        <v>2.3</v>
      </c>
      <c r="Q70" s="10" t="n">
        <v>6.8</v>
      </c>
      <c r="R70" s="10" t="n">
        <v>8</v>
      </c>
      <c r="S70" s="8">
        <f>IF(OR(O70="Open",O70="In Progress"),"Pending",IF(Q70&lt;=R70,"Yes","No"))</f>
        <v/>
      </c>
      <c r="T70" s="8" t="inlineStr">
        <is>
          <t>VPN client profile corruption</t>
        </is>
      </c>
      <c r="U70" s="8" t="inlineStr">
        <is>
          <t>Reconfigured VPN profile and validated connection</t>
        </is>
      </c>
      <c r="V70" s="8" t="inlineStr">
        <is>
          <t>Yes</t>
        </is>
      </c>
    </row>
    <row r="71">
      <c r="A71" s="8" t="inlineStr">
        <is>
          <t>INC100069</t>
        </is>
      </c>
      <c r="B71" s="9" t="n">
        <v>46034.76041666666</v>
      </c>
      <c r="C71" s="8" t="inlineStr">
        <is>
          <t>Phone</t>
        </is>
      </c>
      <c r="D71" s="8" t="inlineStr">
        <is>
          <t>Meera Rao</t>
        </is>
      </c>
      <c r="E71" s="8" t="inlineStr">
        <is>
          <t>APAC</t>
        </is>
      </c>
      <c r="F71" s="8" t="inlineStr">
        <is>
          <t>IT</t>
        </is>
      </c>
      <c r="G71" s="8" t="inlineStr">
        <is>
          <t>iPad</t>
        </is>
      </c>
      <c r="H71" s="8" t="inlineStr">
        <is>
          <t>Outlook not opening on startup</t>
        </is>
      </c>
      <c r="I71" s="8" t="inlineStr">
        <is>
          <t>Software</t>
        </is>
      </c>
      <c r="J71" s="8" t="inlineStr">
        <is>
          <t>Outlook Issue</t>
        </is>
      </c>
      <c r="K71" s="8" t="inlineStr">
        <is>
          <t>Microsoft Office</t>
        </is>
      </c>
      <c r="L71" s="8" t="inlineStr">
        <is>
          <t>Medium</t>
        </is>
      </c>
      <c r="M71" s="8" t="inlineStr">
        <is>
          <t>L1 Service Desk</t>
        </is>
      </c>
      <c r="N71" s="8" t="inlineStr">
        <is>
          <t>No</t>
        </is>
      </c>
      <c r="O71" s="8" t="inlineStr">
        <is>
          <t>Resolved</t>
        </is>
      </c>
      <c r="P71" s="10" t="n">
        <v>0.7</v>
      </c>
      <c r="Q71" s="10" t="n">
        <v>1.6</v>
      </c>
      <c r="R71" s="10" t="n">
        <v>8</v>
      </c>
      <c r="S71" s="8">
        <f>IF(OR(O71="Open",O71="In Progress"),"Pending",IF(Q71&lt;=R71,"Yes","No"))</f>
        <v/>
      </c>
      <c r="T71" s="8" t="inlineStr">
        <is>
          <t>Corrupt Office add-in</t>
        </is>
      </c>
      <c r="U71" s="8" t="inlineStr">
        <is>
          <t>Started in safe mode and repaired Office</t>
        </is>
      </c>
      <c r="V71" s="8" t="inlineStr">
        <is>
          <t>Yes</t>
        </is>
      </c>
    </row>
    <row r="72">
      <c r="A72" s="8" t="inlineStr">
        <is>
          <t>INC100070</t>
        </is>
      </c>
      <c r="B72" s="9" t="n">
        <v>46082.8125</v>
      </c>
      <c r="C72" s="8" t="inlineStr">
        <is>
          <t>Phone</t>
        </is>
      </c>
      <c r="D72" s="8" t="inlineStr">
        <is>
          <t>Sneha Jain</t>
        </is>
      </c>
      <c r="E72" s="8" t="inlineStr">
        <is>
          <t>US</t>
        </is>
      </c>
      <c r="F72" s="8" t="inlineStr">
        <is>
          <t>Legal</t>
        </is>
      </c>
      <c r="G72" s="8" t="inlineStr">
        <is>
          <t>iPhone</t>
        </is>
      </c>
      <c r="H72" s="8" t="inlineStr">
        <is>
          <t>Role-based access required for finance application</t>
        </is>
      </c>
      <c r="I72" s="8" t="inlineStr">
        <is>
          <t>Access</t>
        </is>
      </c>
      <c r="J72" s="8" t="inlineStr">
        <is>
          <t>Role Assignment</t>
        </is>
      </c>
      <c r="K72" s="8" t="inlineStr">
        <is>
          <t>Azure AD</t>
        </is>
      </c>
      <c r="L72" s="8" t="inlineStr">
        <is>
          <t>Medium</t>
        </is>
      </c>
      <c r="M72" s="8" t="inlineStr">
        <is>
          <t>L1 Service Desk</t>
        </is>
      </c>
      <c r="N72" s="8" t="inlineStr">
        <is>
          <t>Yes</t>
        </is>
      </c>
      <c r="O72" s="8" t="inlineStr">
        <is>
          <t>Closed</t>
        </is>
      </c>
      <c r="P72" s="10" t="n">
        <v>2.3</v>
      </c>
      <c r="Q72" s="10" t="n">
        <v>12.2</v>
      </c>
      <c r="R72" s="10" t="n">
        <v>8</v>
      </c>
      <c r="S72" s="8">
        <f>IF(OR(O72="Open",O72="In Progress"),"Pending",IF(Q72&lt;=R72,"Yes","No"))</f>
        <v/>
      </c>
      <c r="T72" s="8" t="inlineStr">
        <is>
          <t>Missing app role assignment</t>
        </is>
      </c>
      <c r="U72" s="8" t="inlineStr">
        <is>
          <t>Assigned required role after approval</t>
        </is>
      </c>
      <c r="V72" s="8" t="inlineStr">
        <is>
          <t>No</t>
        </is>
      </c>
    </row>
    <row r="73">
      <c r="A73" s="8" t="inlineStr">
        <is>
          <t>INC100071</t>
        </is>
      </c>
      <c r="B73" s="9" t="n">
        <v>46063.16666666666</v>
      </c>
      <c r="C73" s="8" t="inlineStr">
        <is>
          <t>Portal</t>
        </is>
      </c>
      <c r="D73" s="8" t="inlineStr">
        <is>
          <t>Kiran Sharma</t>
        </is>
      </c>
      <c r="E73" s="8" t="inlineStr">
        <is>
          <t>India</t>
        </is>
      </c>
      <c r="F73" s="8" t="inlineStr">
        <is>
          <t>Procurement</t>
        </is>
      </c>
      <c r="G73" s="8" t="inlineStr">
        <is>
          <t>Laptop</t>
        </is>
      </c>
      <c r="H73" s="8" t="inlineStr">
        <is>
          <t>System performance slow after updates</t>
        </is>
      </c>
      <c r="I73" s="8" t="inlineStr">
        <is>
          <t>Hardware</t>
        </is>
      </c>
      <c r="J73" s="8" t="inlineStr">
        <is>
          <t>Performance</t>
        </is>
      </c>
      <c r="K73" s="8" t="inlineStr">
        <is>
          <t>Windows</t>
        </is>
      </c>
      <c r="L73" s="8" t="inlineStr">
        <is>
          <t>Low</t>
        </is>
      </c>
      <c r="M73" s="8" t="inlineStr">
        <is>
          <t>L1 Endpoint Support</t>
        </is>
      </c>
      <c r="N73" s="8" t="inlineStr">
        <is>
          <t>Yes</t>
        </is>
      </c>
      <c r="O73" s="8" t="inlineStr">
        <is>
          <t>Resolved</t>
        </is>
      </c>
      <c r="P73" s="10" t="n">
        <v>1</v>
      </c>
      <c r="Q73" s="10" t="n">
        <v>12.4</v>
      </c>
      <c r="R73" s="10" t="n">
        <v>16</v>
      </c>
      <c r="S73" s="8">
        <f>IF(OR(O73="Open",O73="In Progress"),"Pending",IF(Q73&lt;=R73,"Yes","No"))</f>
        <v/>
      </c>
      <c r="T73" s="8" t="inlineStr">
        <is>
          <t>High startup load</t>
        </is>
      </c>
      <c r="U73" s="8" t="inlineStr">
        <is>
          <t>Optimized startup items and ran health checks</t>
        </is>
      </c>
      <c r="V73" s="8" t="inlineStr">
        <is>
          <t>No</t>
        </is>
      </c>
    </row>
    <row r="74">
      <c r="A74" s="8" t="inlineStr">
        <is>
          <t>INC100072</t>
        </is>
      </c>
      <c r="B74" s="9" t="n">
        <v>46078.42708333334</v>
      </c>
      <c r="C74" s="8" t="inlineStr">
        <is>
          <t>Portal</t>
        </is>
      </c>
      <c r="D74" s="8" t="inlineStr">
        <is>
          <t>Pooja Jain</t>
        </is>
      </c>
      <c r="E74" s="8" t="inlineStr">
        <is>
          <t>India</t>
        </is>
      </c>
      <c r="F74" s="8" t="inlineStr">
        <is>
          <t>Legal</t>
        </is>
      </c>
      <c r="G74" s="8" t="inlineStr">
        <is>
          <t>Desktop</t>
        </is>
      </c>
      <c r="H74" s="8" t="inlineStr">
        <is>
          <t>Need creation of new user account for onboarding</t>
        </is>
      </c>
      <c r="I74" s="8" t="inlineStr">
        <is>
          <t>Access</t>
        </is>
      </c>
      <c r="J74" s="8" t="inlineStr">
        <is>
          <t>User Creation</t>
        </is>
      </c>
      <c r="K74" s="8" t="inlineStr">
        <is>
          <t>Azure AD</t>
        </is>
      </c>
      <c r="L74" s="8" t="inlineStr">
        <is>
          <t>Medium</t>
        </is>
      </c>
      <c r="M74" s="8" t="inlineStr">
        <is>
          <t>L1 Service Desk</t>
        </is>
      </c>
      <c r="N74" s="8" t="inlineStr">
        <is>
          <t>No</t>
        </is>
      </c>
      <c r="O74" s="8" t="inlineStr">
        <is>
          <t>Resolved</t>
        </is>
      </c>
      <c r="P74" s="10" t="n">
        <v>1.8</v>
      </c>
      <c r="Q74" s="10" t="n">
        <v>2.2</v>
      </c>
      <c r="R74" s="10" t="n">
        <v>8</v>
      </c>
      <c r="S74" s="8">
        <f>IF(OR(O74="Open",O74="In Progress"),"Pending",IF(Q74&lt;=R74,"Yes","No"))</f>
        <v/>
      </c>
      <c r="T74" s="8" t="inlineStr">
        <is>
          <t>New hire onboarding</t>
        </is>
      </c>
      <c r="U74" s="8" t="inlineStr">
        <is>
          <t>Created account and assigned baseline groups</t>
        </is>
      </c>
      <c r="V74" s="8" t="inlineStr">
        <is>
          <t>No</t>
        </is>
      </c>
    </row>
    <row r="75">
      <c r="A75" s="8" t="inlineStr">
        <is>
          <t>INC100073</t>
        </is>
      </c>
      <c r="B75" s="9" t="n">
        <v>46086.85416666666</v>
      </c>
      <c r="C75" s="8" t="inlineStr">
        <is>
          <t>Portal</t>
        </is>
      </c>
      <c r="D75" s="8" t="inlineStr">
        <is>
          <t>Lavanya Joshi</t>
        </is>
      </c>
      <c r="E75" s="8" t="inlineStr">
        <is>
          <t>UK</t>
        </is>
      </c>
      <c r="F75" s="8" t="inlineStr">
        <is>
          <t>Finance</t>
        </is>
      </c>
      <c r="G75" s="8" t="inlineStr">
        <is>
          <t>Desktop</t>
        </is>
      </c>
      <c r="H75" s="8" t="inlineStr">
        <is>
          <t>New user mailbox access not available</t>
        </is>
      </c>
      <c r="I75" s="8" t="inlineStr">
        <is>
          <t>Access</t>
        </is>
      </c>
      <c r="J75" s="8" t="inlineStr">
        <is>
          <t>Mailbox Provisioning</t>
        </is>
      </c>
      <c r="K75" s="8" t="inlineStr">
        <is>
          <t>Azure AD</t>
        </is>
      </c>
      <c r="L75" s="8" t="inlineStr">
        <is>
          <t>High</t>
        </is>
      </c>
      <c r="M75" s="8" t="inlineStr">
        <is>
          <t>L1 Service Desk</t>
        </is>
      </c>
      <c r="N75" s="8" t="inlineStr">
        <is>
          <t>No</t>
        </is>
      </c>
      <c r="O75" s="8" t="inlineStr">
        <is>
          <t>Resolved</t>
        </is>
      </c>
      <c r="P75" s="10" t="n">
        <v>1.2</v>
      </c>
      <c r="Q75" s="10" t="n">
        <v>3.5</v>
      </c>
      <c r="R75" s="10" t="n">
        <v>4</v>
      </c>
      <c r="S75" s="8">
        <f>IF(OR(O75="Open",O75="In Progress"),"Pending",IF(Q75&lt;=R75,"Yes","No"))</f>
        <v/>
      </c>
      <c r="T75" s="8" t="inlineStr">
        <is>
          <t>License sync delay</t>
        </is>
      </c>
      <c r="U75" s="8" t="inlineStr">
        <is>
          <t>Verified license assignment and sync completion</t>
        </is>
      </c>
      <c r="V75" s="8" t="inlineStr">
        <is>
          <t>No</t>
        </is>
      </c>
    </row>
    <row r="76">
      <c r="A76" s="8" t="inlineStr">
        <is>
          <t>INC100074</t>
        </is>
      </c>
      <c r="B76" s="9" t="n">
        <v>46082.875</v>
      </c>
      <c r="C76" s="8" t="inlineStr">
        <is>
          <t>Email</t>
        </is>
      </c>
      <c r="D76" s="8" t="inlineStr">
        <is>
          <t>Priya Verma</t>
        </is>
      </c>
      <c r="E76" s="8" t="inlineStr">
        <is>
          <t>UK</t>
        </is>
      </c>
      <c r="F76" s="8" t="inlineStr">
        <is>
          <t>Sales</t>
        </is>
      </c>
      <c r="G76" s="8" t="inlineStr">
        <is>
          <t>iPhone</t>
        </is>
      </c>
      <c r="H76" s="8" t="inlineStr">
        <is>
          <t>OTP not received for sign-in verification</t>
        </is>
      </c>
      <c r="I76" s="8" t="inlineStr">
        <is>
          <t>Access</t>
        </is>
      </c>
      <c r="J76" s="8" t="inlineStr">
        <is>
          <t>OTP Failure</t>
        </is>
      </c>
      <c r="K76" s="8" t="inlineStr">
        <is>
          <t>Okta</t>
        </is>
      </c>
      <c r="L76" s="8" t="inlineStr">
        <is>
          <t>Medium</t>
        </is>
      </c>
      <c r="M76" s="8" t="inlineStr">
        <is>
          <t>L1 IAM Support</t>
        </is>
      </c>
      <c r="N76" s="8" t="inlineStr">
        <is>
          <t>No</t>
        </is>
      </c>
      <c r="O76" s="8" t="inlineStr">
        <is>
          <t>Open</t>
        </is>
      </c>
      <c r="P76" s="10" t="n">
        <v>0.4</v>
      </c>
      <c r="Q76" s="10" t="n"/>
      <c r="R76" s="10" t="n">
        <v>8</v>
      </c>
      <c r="S76" s="8">
        <f>IF(OR(O76="Open",O76="In Progress"),"Pending",IF(Q76&lt;=R76,"Yes","No"))</f>
        <v/>
      </c>
      <c r="T76" s="8" t="inlineStr">
        <is>
          <t>Outdated phone number</t>
        </is>
      </c>
      <c r="U76" s="8" t="inlineStr">
        <is>
          <t>Pending specialist review / awaiting user confirmation</t>
        </is>
      </c>
      <c r="V76" s="8" t="inlineStr">
        <is>
          <t>No</t>
        </is>
      </c>
    </row>
    <row r="77">
      <c r="A77" s="8" t="inlineStr">
        <is>
          <t>INC100075</t>
        </is>
      </c>
      <c r="B77" s="9" t="n">
        <v>46078.34375</v>
      </c>
      <c r="C77" s="8" t="inlineStr">
        <is>
          <t>Chat</t>
        </is>
      </c>
      <c r="D77" s="8" t="inlineStr">
        <is>
          <t>Meera Mehta</t>
        </is>
      </c>
      <c r="E77" s="8" t="inlineStr">
        <is>
          <t>US</t>
        </is>
      </c>
      <c r="F77" s="8" t="inlineStr">
        <is>
          <t>Finance</t>
        </is>
      </c>
      <c r="G77" s="8" t="inlineStr">
        <is>
          <t>Laptop</t>
        </is>
      </c>
      <c r="H77" s="8" t="inlineStr">
        <is>
          <t>Need creation of new user account for onboarding</t>
        </is>
      </c>
      <c r="I77" s="8" t="inlineStr">
        <is>
          <t>Access</t>
        </is>
      </c>
      <c r="J77" s="8" t="inlineStr">
        <is>
          <t>User Creation</t>
        </is>
      </c>
      <c r="K77" s="8" t="inlineStr">
        <is>
          <t>Azure AD</t>
        </is>
      </c>
      <c r="L77" s="8" t="inlineStr">
        <is>
          <t>High</t>
        </is>
      </c>
      <c r="M77" s="8" t="inlineStr">
        <is>
          <t>L1 Service Desk</t>
        </is>
      </c>
      <c r="N77" s="8" t="inlineStr">
        <is>
          <t>No</t>
        </is>
      </c>
      <c r="O77" s="8" t="inlineStr">
        <is>
          <t>Resolved</t>
        </is>
      </c>
      <c r="P77" s="10" t="n">
        <v>0.7</v>
      </c>
      <c r="Q77" s="10" t="n">
        <v>8.4</v>
      </c>
      <c r="R77" s="10" t="n">
        <v>4</v>
      </c>
      <c r="S77" s="8">
        <f>IF(OR(O77="Open",O77="In Progress"),"Pending",IF(Q77&lt;=R77,"Yes","No"))</f>
        <v/>
      </c>
      <c r="T77" s="8" t="inlineStr">
        <is>
          <t>New hire onboarding</t>
        </is>
      </c>
      <c r="U77" s="8" t="inlineStr">
        <is>
          <t>Created account and assigned baseline groups</t>
        </is>
      </c>
      <c r="V77" s="8" t="inlineStr">
        <is>
          <t>No</t>
        </is>
      </c>
    </row>
    <row r="78">
      <c r="A78" s="8" t="inlineStr">
        <is>
          <t>INC100076</t>
        </is>
      </c>
      <c r="B78" s="9" t="n">
        <v>46058.88541666666</v>
      </c>
      <c r="C78" s="8" t="inlineStr">
        <is>
          <t>Chat</t>
        </is>
      </c>
      <c r="D78" s="8" t="inlineStr">
        <is>
          <t>Tarun Mehta</t>
        </is>
      </c>
      <c r="E78" s="8" t="inlineStr">
        <is>
          <t>India</t>
        </is>
      </c>
      <c r="F78" s="8" t="inlineStr">
        <is>
          <t>Operations</t>
        </is>
      </c>
      <c r="G78" s="8" t="inlineStr">
        <is>
          <t>Laptop</t>
        </is>
      </c>
      <c r="H78" s="8" t="inlineStr">
        <is>
          <t>Teams login failure after password change</t>
        </is>
      </c>
      <c r="I78" s="8" t="inlineStr">
        <is>
          <t>Software</t>
        </is>
      </c>
      <c r="J78" s="8" t="inlineStr">
        <is>
          <t>Teams Login</t>
        </is>
      </c>
      <c r="K78" s="8" t="inlineStr">
        <is>
          <t>Microsoft Teams</t>
        </is>
      </c>
      <c r="L78" s="8" t="inlineStr">
        <is>
          <t>Medium</t>
        </is>
      </c>
      <c r="M78" s="8" t="inlineStr">
        <is>
          <t>L1 Service Desk</t>
        </is>
      </c>
      <c r="N78" s="8" t="inlineStr">
        <is>
          <t>No</t>
        </is>
      </c>
      <c r="O78" s="8" t="inlineStr">
        <is>
          <t>Resolved</t>
        </is>
      </c>
      <c r="P78" s="10" t="n">
        <v>1.9</v>
      </c>
      <c r="Q78" s="10" t="n">
        <v>4.2</v>
      </c>
      <c r="R78" s="10" t="n">
        <v>8</v>
      </c>
      <c r="S78" s="8">
        <f>IF(OR(O78="Open",O78="In Progress"),"Pending",IF(Q78&lt;=R78,"Yes","No"))</f>
        <v/>
      </c>
      <c r="T78" s="8" t="inlineStr">
        <is>
          <t>Cached credentials mismatch</t>
        </is>
      </c>
      <c r="U78" s="8" t="inlineStr">
        <is>
          <t>Cleared Teams cache and reauthenticated</t>
        </is>
      </c>
      <c r="V78" s="8" t="inlineStr">
        <is>
          <t>No</t>
        </is>
      </c>
    </row>
    <row r="79">
      <c r="A79" s="8" t="inlineStr">
        <is>
          <t>INC100077</t>
        </is>
      </c>
      <c r="B79" s="9" t="n">
        <v>46078.95833333334</v>
      </c>
      <c r="C79" s="8" t="inlineStr">
        <is>
          <t>Chat</t>
        </is>
      </c>
      <c r="D79" s="8" t="inlineStr">
        <is>
          <t>Sanjay Das</t>
        </is>
      </c>
      <c r="E79" s="8" t="inlineStr">
        <is>
          <t>US</t>
        </is>
      </c>
      <c r="F79" s="8" t="inlineStr">
        <is>
          <t>Finance</t>
        </is>
      </c>
      <c r="G79" s="8" t="inlineStr">
        <is>
          <t>Desktop</t>
        </is>
      </c>
      <c r="H79" s="8" t="inlineStr">
        <is>
          <t>New user mailbox access not available</t>
        </is>
      </c>
      <c r="I79" s="8" t="inlineStr">
        <is>
          <t>Access</t>
        </is>
      </c>
      <c r="J79" s="8" t="inlineStr">
        <is>
          <t>Mailbox Provisioning</t>
        </is>
      </c>
      <c r="K79" s="8" t="inlineStr">
        <is>
          <t>Azure AD</t>
        </is>
      </c>
      <c r="L79" s="8" t="inlineStr">
        <is>
          <t>Medium</t>
        </is>
      </c>
      <c r="M79" s="8" t="inlineStr">
        <is>
          <t>L1 Service Desk</t>
        </is>
      </c>
      <c r="N79" s="8" t="inlineStr">
        <is>
          <t>No</t>
        </is>
      </c>
      <c r="O79" s="8" t="inlineStr">
        <is>
          <t>Resolved</t>
        </is>
      </c>
      <c r="P79" s="10" t="n">
        <v>0.2</v>
      </c>
      <c r="Q79" s="10" t="n">
        <v>3.9</v>
      </c>
      <c r="R79" s="10" t="n">
        <v>8</v>
      </c>
      <c r="S79" s="8">
        <f>IF(OR(O79="Open",O79="In Progress"),"Pending",IF(Q79&lt;=R79,"Yes","No"))</f>
        <v/>
      </c>
      <c r="T79" s="8" t="inlineStr">
        <is>
          <t>License sync delay</t>
        </is>
      </c>
      <c r="U79" s="8" t="inlineStr">
        <is>
          <t>Verified license assignment and sync completion</t>
        </is>
      </c>
      <c r="V79" s="8" t="inlineStr">
        <is>
          <t>No</t>
        </is>
      </c>
    </row>
    <row r="80">
      <c r="A80" s="8" t="inlineStr">
        <is>
          <t>INC100078</t>
        </is>
      </c>
      <c r="B80" s="9" t="n">
        <v>46089.11458333334</v>
      </c>
      <c r="C80" s="8" t="inlineStr">
        <is>
          <t>Email</t>
        </is>
      </c>
      <c r="D80" s="8" t="inlineStr">
        <is>
          <t>Rahul Joshi</t>
        </is>
      </c>
      <c r="E80" s="8" t="inlineStr">
        <is>
          <t>India</t>
        </is>
      </c>
      <c r="F80" s="8" t="inlineStr">
        <is>
          <t>IT</t>
        </is>
      </c>
      <c r="G80" s="8" t="inlineStr">
        <is>
          <t>Laptop</t>
        </is>
      </c>
      <c r="H80" s="8" t="inlineStr">
        <is>
          <t>Outlook not opening on startup</t>
        </is>
      </c>
      <c r="I80" s="8" t="inlineStr">
        <is>
          <t>Software</t>
        </is>
      </c>
      <c r="J80" s="8" t="inlineStr">
        <is>
          <t>Outlook Issue</t>
        </is>
      </c>
      <c r="K80" s="8" t="inlineStr">
        <is>
          <t>Microsoft Office</t>
        </is>
      </c>
      <c r="L80" s="8" t="inlineStr">
        <is>
          <t>Medium</t>
        </is>
      </c>
      <c r="M80" s="8" t="inlineStr">
        <is>
          <t>L1 Service Desk</t>
        </is>
      </c>
      <c r="N80" s="8" t="inlineStr">
        <is>
          <t>No</t>
        </is>
      </c>
      <c r="O80" s="8" t="inlineStr">
        <is>
          <t>Resolved</t>
        </is>
      </c>
      <c r="P80" s="10" t="n">
        <v>0.8</v>
      </c>
      <c r="Q80" s="10" t="n">
        <v>4.9</v>
      </c>
      <c r="R80" s="10" t="n">
        <v>8</v>
      </c>
      <c r="S80" s="8">
        <f>IF(OR(O80="Open",O80="In Progress"),"Pending",IF(Q80&lt;=R80,"Yes","No"))</f>
        <v/>
      </c>
      <c r="T80" s="8" t="inlineStr">
        <is>
          <t>Corrupt Office add-in</t>
        </is>
      </c>
      <c r="U80" s="8" t="inlineStr">
        <is>
          <t>Started in safe mode and repaired Office</t>
        </is>
      </c>
      <c r="V80" s="8" t="inlineStr">
        <is>
          <t>No</t>
        </is>
      </c>
    </row>
    <row r="81">
      <c r="A81" s="8" t="inlineStr">
        <is>
          <t>INC100079</t>
        </is>
      </c>
      <c r="B81" s="9" t="n">
        <v>46053.48958333334</v>
      </c>
      <c r="C81" s="8" t="inlineStr">
        <is>
          <t>Phone</t>
        </is>
      </c>
      <c r="D81" s="8" t="inlineStr">
        <is>
          <t>Manoj Singh</t>
        </is>
      </c>
      <c r="E81" s="8" t="inlineStr">
        <is>
          <t>APAC</t>
        </is>
      </c>
      <c r="F81" s="8" t="inlineStr">
        <is>
          <t>HR</t>
        </is>
      </c>
      <c r="G81" s="8" t="inlineStr">
        <is>
          <t>Thin Client</t>
        </is>
      </c>
      <c r="H81" s="8" t="inlineStr">
        <is>
          <t>Unable to join Teams meeting from desktop app</t>
        </is>
      </c>
      <c r="I81" s="8" t="inlineStr">
        <is>
          <t>Software</t>
        </is>
      </c>
      <c r="J81" s="8" t="inlineStr">
        <is>
          <t>Teams Meeting</t>
        </is>
      </c>
      <c r="K81" s="8" t="inlineStr">
        <is>
          <t>Microsoft Teams</t>
        </is>
      </c>
      <c r="L81" s="8" t="inlineStr">
        <is>
          <t>Low</t>
        </is>
      </c>
      <c r="M81" s="8" t="inlineStr">
        <is>
          <t>L1 Service Desk</t>
        </is>
      </c>
      <c r="N81" s="8" t="inlineStr">
        <is>
          <t>No</t>
        </is>
      </c>
      <c r="O81" s="8" t="inlineStr">
        <is>
          <t>Resolved</t>
        </is>
      </c>
      <c r="P81" s="10" t="n">
        <v>1.8</v>
      </c>
      <c r="Q81" s="10" t="n">
        <v>12.9</v>
      </c>
      <c r="R81" s="10" t="n">
        <v>16</v>
      </c>
      <c r="S81" s="8">
        <f>IF(OR(O81="Open",O81="In Progress"),"Pending",IF(Q81&lt;=R81,"Yes","No"))</f>
        <v/>
      </c>
      <c r="T81" s="8" t="inlineStr">
        <is>
          <t>Client cache / audio stack issue</t>
        </is>
      </c>
      <c r="U81" s="8" t="inlineStr">
        <is>
          <t>Reset Teams app and checked device permissions</t>
        </is>
      </c>
      <c r="V81" s="8" t="inlineStr">
        <is>
          <t>No</t>
        </is>
      </c>
    </row>
    <row r="82">
      <c r="A82" s="8" t="inlineStr">
        <is>
          <t>INC100080</t>
        </is>
      </c>
      <c r="B82" s="9" t="n">
        <v>46036.4375</v>
      </c>
      <c r="C82" s="8" t="inlineStr">
        <is>
          <t>Email</t>
        </is>
      </c>
      <c r="D82" s="8" t="inlineStr">
        <is>
          <t>Pooja Mehta</t>
        </is>
      </c>
      <c r="E82" s="8" t="inlineStr">
        <is>
          <t>UK</t>
        </is>
      </c>
      <c r="F82" s="8" t="inlineStr">
        <is>
          <t>IT</t>
        </is>
      </c>
      <c r="G82" s="8" t="inlineStr">
        <is>
          <t>iPad</t>
        </is>
      </c>
      <c r="H82" s="8" t="inlineStr">
        <is>
          <t>Device marked non-compliant in management portal</t>
        </is>
      </c>
      <c r="I82" s="8" t="inlineStr">
        <is>
          <t>Compliance</t>
        </is>
      </c>
      <c r="J82" s="8" t="inlineStr">
        <is>
          <t>Compliance Alert</t>
        </is>
      </c>
      <c r="K82" s="8" t="inlineStr">
        <is>
          <t>Intune</t>
        </is>
      </c>
      <c r="L82" s="8" t="inlineStr">
        <is>
          <t>High</t>
        </is>
      </c>
      <c r="M82" s="8" t="inlineStr">
        <is>
          <t>L1 Endpoint Support</t>
        </is>
      </c>
      <c r="N82" s="8" t="inlineStr">
        <is>
          <t>No</t>
        </is>
      </c>
      <c r="O82" s="8" t="inlineStr">
        <is>
          <t>Resolved</t>
        </is>
      </c>
      <c r="P82" s="10" t="n">
        <v>0.2</v>
      </c>
      <c r="Q82" s="10" t="n">
        <v>1</v>
      </c>
      <c r="R82" s="10" t="n">
        <v>4</v>
      </c>
      <c r="S82" s="8">
        <f>IF(OR(O82="Open",O82="In Progress"),"Pending",IF(Q82&lt;=R82,"Yes","No"))</f>
        <v/>
      </c>
      <c r="T82" s="8" t="inlineStr">
        <is>
          <t>Encryption / policy mismatch</t>
        </is>
      </c>
      <c r="U82" s="8" t="inlineStr">
        <is>
          <t>Triggered policy sync and updated compliance state</t>
        </is>
      </c>
      <c r="V82" s="8" t="inlineStr">
        <is>
          <t>No</t>
        </is>
      </c>
    </row>
    <row r="83">
      <c r="A83" s="8" t="inlineStr">
        <is>
          <t>INC100081</t>
        </is>
      </c>
      <c r="B83" s="9" t="n">
        <v>46075.79166666666</v>
      </c>
      <c r="C83" s="8" t="inlineStr">
        <is>
          <t>Portal</t>
        </is>
      </c>
      <c r="D83" s="8" t="inlineStr">
        <is>
          <t>Tarun Das</t>
        </is>
      </c>
      <c r="E83" s="8" t="inlineStr">
        <is>
          <t>UK</t>
        </is>
      </c>
      <c r="F83" s="8" t="inlineStr">
        <is>
          <t>HR</t>
        </is>
      </c>
      <c r="G83" s="8" t="inlineStr">
        <is>
          <t>Desktop</t>
        </is>
      </c>
      <c r="H83" s="8" t="inlineStr">
        <is>
          <t>New user mailbox access not available</t>
        </is>
      </c>
      <c r="I83" s="8" t="inlineStr">
        <is>
          <t>Access</t>
        </is>
      </c>
      <c r="J83" s="8" t="inlineStr">
        <is>
          <t>Mailbox Provisioning</t>
        </is>
      </c>
      <c r="K83" s="8" t="inlineStr">
        <is>
          <t>Azure AD</t>
        </is>
      </c>
      <c r="L83" s="8" t="inlineStr">
        <is>
          <t>High</t>
        </is>
      </c>
      <c r="M83" s="8" t="inlineStr">
        <is>
          <t>L1 Service Desk</t>
        </is>
      </c>
      <c r="N83" s="8" t="inlineStr">
        <is>
          <t>No</t>
        </is>
      </c>
      <c r="O83" s="8" t="inlineStr">
        <is>
          <t>Closed</t>
        </is>
      </c>
      <c r="P83" s="10" t="n">
        <v>1.1</v>
      </c>
      <c r="Q83" s="10" t="n">
        <v>2.8</v>
      </c>
      <c r="R83" s="10" t="n">
        <v>4</v>
      </c>
      <c r="S83" s="8">
        <f>IF(OR(O83="Open",O83="In Progress"),"Pending",IF(Q83&lt;=R83,"Yes","No"))</f>
        <v/>
      </c>
      <c r="T83" s="8" t="inlineStr">
        <is>
          <t>License sync delay</t>
        </is>
      </c>
      <c r="U83" s="8" t="inlineStr">
        <is>
          <t>Verified license assignment and sync completion</t>
        </is>
      </c>
      <c r="V83" s="8" t="inlineStr">
        <is>
          <t>No</t>
        </is>
      </c>
    </row>
    <row r="84">
      <c r="A84" s="8" t="inlineStr">
        <is>
          <t>INC100082</t>
        </is>
      </c>
      <c r="B84" s="9" t="n">
        <v>46037.17708333334</v>
      </c>
      <c r="C84" s="8" t="inlineStr">
        <is>
          <t>Phone</t>
        </is>
      </c>
      <c r="D84" s="8" t="inlineStr">
        <is>
          <t>Kiran Jain</t>
        </is>
      </c>
      <c r="E84" s="8" t="inlineStr">
        <is>
          <t>APAC</t>
        </is>
      </c>
      <c r="F84" s="8" t="inlineStr">
        <is>
          <t>Sales</t>
        </is>
      </c>
      <c r="G84" s="8" t="inlineStr">
        <is>
          <t>iPhone</t>
        </is>
      </c>
      <c r="H84" s="8" t="inlineStr">
        <is>
          <t>System performance slow after updates</t>
        </is>
      </c>
      <c r="I84" s="8" t="inlineStr">
        <is>
          <t>Hardware</t>
        </is>
      </c>
      <c r="J84" s="8" t="inlineStr">
        <is>
          <t>Performance</t>
        </is>
      </c>
      <c r="K84" s="8" t="inlineStr">
        <is>
          <t>Windows</t>
        </is>
      </c>
      <c r="L84" s="8" t="inlineStr">
        <is>
          <t>Low</t>
        </is>
      </c>
      <c r="M84" s="8" t="inlineStr">
        <is>
          <t>L1 Endpoint Support</t>
        </is>
      </c>
      <c r="N84" s="8" t="inlineStr">
        <is>
          <t>No</t>
        </is>
      </c>
      <c r="O84" s="8" t="inlineStr">
        <is>
          <t>Closed</t>
        </is>
      </c>
      <c r="P84" s="10" t="n">
        <v>0.5</v>
      </c>
      <c r="Q84" s="10" t="n">
        <v>4.6</v>
      </c>
      <c r="R84" s="10" t="n">
        <v>16</v>
      </c>
      <c r="S84" s="8">
        <f>IF(OR(O84="Open",O84="In Progress"),"Pending",IF(Q84&lt;=R84,"Yes","No"))</f>
        <v/>
      </c>
      <c r="T84" s="8" t="inlineStr">
        <is>
          <t>High startup load</t>
        </is>
      </c>
      <c r="U84" s="8" t="inlineStr">
        <is>
          <t>Optimized startup items and ran health checks</t>
        </is>
      </c>
      <c r="V84" s="8" t="inlineStr">
        <is>
          <t>Yes</t>
        </is>
      </c>
    </row>
    <row r="85">
      <c r="A85" s="8" t="inlineStr">
        <is>
          <t>INC100083</t>
        </is>
      </c>
      <c r="B85" s="9" t="n">
        <v>46087.52083333334</v>
      </c>
      <c r="C85" s="8" t="inlineStr">
        <is>
          <t>Chat</t>
        </is>
      </c>
      <c r="D85" s="8" t="inlineStr">
        <is>
          <t>Aarav Patel</t>
        </is>
      </c>
      <c r="E85" s="8" t="inlineStr">
        <is>
          <t>UK</t>
        </is>
      </c>
      <c r="F85" s="8" t="inlineStr">
        <is>
          <t>Procurement</t>
        </is>
      </c>
      <c r="G85" s="8" t="inlineStr">
        <is>
          <t>iPhone</t>
        </is>
      </c>
      <c r="H85" s="8" t="inlineStr">
        <is>
          <t>Unable to join Teams meeting from desktop app</t>
        </is>
      </c>
      <c r="I85" s="8" t="inlineStr">
        <is>
          <t>Software</t>
        </is>
      </c>
      <c r="J85" s="8" t="inlineStr">
        <is>
          <t>Teams Meeting</t>
        </is>
      </c>
      <c r="K85" s="8" t="inlineStr">
        <is>
          <t>Microsoft Teams</t>
        </is>
      </c>
      <c r="L85" s="8" t="inlineStr">
        <is>
          <t>Low</t>
        </is>
      </c>
      <c r="M85" s="8" t="inlineStr">
        <is>
          <t>L1 Service Desk</t>
        </is>
      </c>
      <c r="N85" s="8" t="inlineStr">
        <is>
          <t>No</t>
        </is>
      </c>
      <c r="O85" s="8" t="inlineStr">
        <is>
          <t>Resolved</t>
        </is>
      </c>
      <c r="P85" s="10" t="n">
        <v>0.8</v>
      </c>
      <c r="Q85" s="10" t="n">
        <v>2.7</v>
      </c>
      <c r="R85" s="10" t="n">
        <v>16</v>
      </c>
      <c r="S85" s="8">
        <f>IF(OR(O85="Open",O85="In Progress"),"Pending",IF(Q85&lt;=R85,"Yes","No"))</f>
        <v/>
      </c>
      <c r="T85" s="8" t="inlineStr">
        <is>
          <t>Client cache / audio stack issue</t>
        </is>
      </c>
      <c r="U85" s="8" t="inlineStr">
        <is>
          <t>Reset Teams app and checked device permissions</t>
        </is>
      </c>
      <c r="V85" s="8" t="inlineStr">
        <is>
          <t>Yes</t>
        </is>
      </c>
    </row>
    <row r="86">
      <c r="A86" s="8" t="inlineStr">
        <is>
          <t>INC100084</t>
        </is>
      </c>
      <c r="B86" s="9" t="n">
        <v>46092.01041666666</v>
      </c>
      <c r="C86" s="8" t="inlineStr">
        <is>
          <t>Email</t>
        </is>
      </c>
      <c r="D86" s="8" t="inlineStr">
        <is>
          <t>Karthik Gupta</t>
        </is>
      </c>
      <c r="E86" s="8" t="inlineStr">
        <is>
          <t>APAC</t>
        </is>
      </c>
      <c r="F86" s="8" t="inlineStr">
        <is>
          <t>IT</t>
        </is>
      </c>
      <c r="G86" s="8" t="inlineStr">
        <is>
          <t>Desktop</t>
        </is>
      </c>
      <c r="H86" s="8" t="inlineStr">
        <is>
          <t>Password reset required after expiry</t>
        </is>
      </c>
      <c r="I86" s="8" t="inlineStr">
        <is>
          <t>Login</t>
        </is>
      </c>
      <c r="J86" s="8" t="inlineStr">
        <is>
          <t>Password Reset</t>
        </is>
      </c>
      <c r="K86" s="8" t="inlineStr">
        <is>
          <t>Active Directory</t>
        </is>
      </c>
      <c r="L86" s="8" t="inlineStr">
        <is>
          <t>High</t>
        </is>
      </c>
      <c r="M86" s="8" t="inlineStr">
        <is>
          <t>L1 Service Desk</t>
        </is>
      </c>
      <c r="N86" s="8" t="inlineStr">
        <is>
          <t>No</t>
        </is>
      </c>
      <c r="O86" s="8" t="inlineStr">
        <is>
          <t>Closed</t>
        </is>
      </c>
      <c r="P86" s="10" t="n">
        <v>0.9</v>
      </c>
      <c r="Q86" s="10" t="n">
        <v>3</v>
      </c>
      <c r="R86" s="10" t="n">
        <v>4</v>
      </c>
      <c r="S86" s="8">
        <f>IF(OR(O86="Open",O86="In Progress"),"Pending",IF(Q86&lt;=R86,"Yes","No"))</f>
        <v/>
      </c>
      <c r="T86" s="8" t="inlineStr">
        <is>
          <t>Password policy expiry</t>
        </is>
      </c>
      <c r="U86" s="8" t="inlineStr">
        <is>
          <t>Reset password in AD and confirmed sign-in</t>
        </is>
      </c>
      <c r="V86" s="8" t="inlineStr">
        <is>
          <t>Yes</t>
        </is>
      </c>
    </row>
    <row r="87">
      <c r="A87" s="8" t="inlineStr">
        <is>
          <t>INC100085</t>
        </is>
      </c>
      <c r="B87" s="9" t="n">
        <v>46092.70833333334</v>
      </c>
      <c r="C87" s="8" t="inlineStr">
        <is>
          <t>Portal</t>
        </is>
      </c>
      <c r="D87" s="8" t="inlineStr">
        <is>
          <t>Rahul Iyer</t>
        </is>
      </c>
      <c r="E87" s="8" t="inlineStr">
        <is>
          <t>APAC</t>
        </is>
      </c>
      <c r="F87" s="8" t="inlineStr">
        <is>
          <t>Customer Support</t>
        </is>
      </c>
      <c r="G87" s="8" t="inlineStr">
        <is>
          <t>Thin Client</t>
        </is>
      </c>
      <c r="H87" s="8" t="inlineStr">
        <is>
          <t>Teams login failure after password change</t>
        </is>
      </c>
      <c r="I87" s="8" t="inlineStr">
        <is>
          <t>Software</t>
        </is>
      </c>
      <c r="J87" s="8" t="inlineStr">
        <is>
          <t>Teams Login</t>
        </is>
      </c>
      <c r="K87" s="8" t="inlineStr">
        <is>
          <t>Microsoft Teams</t>
        </is>
      </c>
      <c r="L87" s="8" t="inlineStr">
        <is>
          <t>Medium</t>
        </is>
      </c>
      <c r="M87" s="8" t="inlineStr">
        <is>
          <t>L1 Service Desk</t>
        </is>
      </c>
      <c r="N87" s="8" t="inlineStr">
        <is>
          <t>No</t>
        </is>
      </c>
      <c r="O87" s="8" t="inlineStr">
        <is>
          <t>Closed</t>
        </is>
      </c>
      <c r="P87" s="10" t="n">
        <v>1.1</v>
      </c>
      <c r="Q87" s="10" t="n">
        <v>2.2</v>
      </c>
      <c r="R87" s="10" t="n">
        <v>8</v>
      </c>
      <c r="S87" s="8">
        <f>IF(OR(O87="Open",O87="In Progress"),"Pending",IF(Q87&lt;=R87,"Yes","No"))</f>
        <v/>
      </c>
      <c r="T87" s="8" t="inlineStr">
        <is>
          <t>Cached credentials mismatch</t>
        </is>
      </c>
      <c r="U87" s="8" t="inlineStr">
        <is>
          <t>Cleared Teams cache and reauthenticated</t>
        </is>
      </c>
      <c r="V87" s="8" t="inlineStr">
        <is>
          <t>No</t>
        </is>
      </c>
    </row>
    <row r="88">
      <c r="A88" s="8" t="inlineStr">
        <is>
          <t>INC100086</t>
        </is>
      </c>
      <c r="B88" s="9" t="n">
        <v>46086.19791666666</v>
      </c>
      <c r="C88" s="8" t="inlineStr">
        <is>
          <t>Email</t>
        </is>
      </c>
      <c r="D88" s="8" t="inlineStr">
        <is>
          <t>Manoj Jain</t>
        </is>
      </c>
      <c r="E88" s="8" t="inlineStr">
        <is>
          <t>UK</t>
        </is>
      </c>
      <c r="F88" s="8" t="inlineStr">
        <is>
          <t>Finance</t>
        </is>
      </c>
      <c r="G88" s="8" t="inlineStr">
        <is>
          <t>iPad</t>
        </is>
      </c>
      <c r="H88" s="8" t="inlineStr">
        <is>
          <t>Outlook not opening on startup</t>
        </is>
      </c>
      <c r="I88" s="8" t="inlineStr">
        <is>
          <t>Software</t>
        </is>
      </c>
      <c r="J88" s="8" t="inlineStr">
        <is>
          <t>Outlook Issue</t>
        </is>
      </c>
      <c r="K88" s="8" t="inlineStr">
        <is>
          <t>Microsoft Office</t>
        </is>
      </c>
      <c r="L88" s="8" t="inlineStr">
        <is>
          <t>Medium</t>
        </is>
      </c>
      <c r="M88" s="8" t="inlineStr">
        <is>
          <t>L1 Service Desk</t>
        </is>
      </c>
      <c r="N88" s="8" t="inlineStr">
        <is>
          <t>No</t>
        </is>
      </c>
      <c r="O88" s="8" t="inlineStr">
        <is>
          <t>Open</t>
        </is>
      </c>
      <c r="P88" s="10" t="n">
        <v>0.2</v>
      </c>
      <c r="Q88" s="10" t="n"/>
      <c r="R88" s="10" t="n">
        <v>8</v>
      </c>
      <c r="S88" s="8">
        <f>IF(OR(O88="Open",O88="In Progress"),"Pending",IF(Q88&lt;=R88,"Yes","No"))</f>
        <v/>
      </c>
      <c r="T88" s="8" t="inlineStr">
        <is>
          <t>Corrupt Office add-in</t>
        </is>
      </c>
      <c r="U88" s="8" t="inlineStr">
        <is>
          <t>Pending specialist review / awaiting user confirmation</t>
        </is>
      </c>
      <c r="V88" s="8" t="inlineStr">
        <is>
          <t>No</t>
        </is>
      </c>
    </row>
    <row r="89">
      <c r="A89" s="8" t="inlineStr">
        <is>
          <t>INC100087</t>
        </is>
      </c>
      <c r="B89" s="9" t="n">
        <v>46093.80208333334</v>
      </c>
      <c r="C89" s="8" t="inlineStr">
        <is>
          <t>Phone</t>
        </is>
      </c>
      <c r="D89" s="8" t="inlineStr">
        <is>
          <t>Vikram Iyer</t>
        </is>
      </c>
      <c r="E89" s="8" t="inlineStr">
        <is>
          <t>UK</t>
        </is>
      </c>
      <c r="F89" s="8" t="inlineStr">
        <is>
          <t>HR</t>
        </is>
      </c>
      <c r="G89" s="8" t="inlineStr">
        <is>
          <t>iPad</t>
        </is>
      </c>
      <c r="H89" s="8" t="inlineStr">
        <is>
          <t>System performance slow after updates</t>
        </is>
      </c>
      <c r="I89" s="8" t="inlineStr">
        <is>
          <t>Hardware</t>
        </is>
      </c>
      <c r="J89" s="8" t="inlineStr">
        <is>
          <t>Performance</t>
        </is>
      </c>
      <c r="K89" s="8" t="inlineStr">
        <is>
          <t>Windows</t>
        </is>
      </c>
      <c r="L89" s="8" t="inlineStr">
        <is>
          <t>Medium</t>
        </is>
      </c>
      <c r="M89" s="8" t="inlineStr">
        <is>
          <t>L1 Endpoint Support</t>
        </is>
      </c>
      <c r="N89" s="8" t="inlineStr">
        <is>
          <t>Yes</t>
        </is>
      </c>
      <c r="O89" s="8" t="inlineStr">
        <is>
          <t>Closed</t>
        </is>
      </c>
      <c r="P89" s="10" t="n">
        <v>0.5</v>
      </c>
      <c r="Q89" s="10" t="n">
        <v>4.8</v>
      </c>
      <c r="R89" s="10" t="n">
        <v>8</v>
      </c>
      <c r="S89" s="8">
        <f>IF(OR(O89="Open",O89="In Progress"),"Pending",IF(Q89&lt;=R89,"Yes","No"))</f>
        <v/>
      </c>
      <c r="T89" s="8" t="inlineStr">
        <is>
          <t>High startup load</t>
        </is>
      </c>
      <c r="U89" s="8" t="inlineStr">
        <is>
          <t>Optimized startup items and ran health checks</t>
        </is>
      </c>
      <c r="V89" s="8" t="inlineStr">
        <is>
          <t>No</t>
        </is>
      </c>
    </row>
    <row r="90">
      <c r="A90" s="8" t="inlineStr">
        <is>
          <t>INC100088</t>
        </is>
      </c>
      <c r="B90" s="9" t="n">
        <v>46097.14583333334</v>
      </c>
      <c r="C90" s="8" t="inlineStr">
        <is>
          <t>Phone</t>
        </is>
      </c>
      <c r="D90" s="8" t="inlineStr">
        <is>
          <t>Rahul Gupta</t>
        </is>
      </c>
      <c r="E90" s="8" t="inlineStr">
        <is>
          <t>India</t>
        </is>
      </c>
      <c r="F90" s="8" t="inlineStr">
        <is>
          <t>Customer Support</t>
        </is>
      </c>
      <c r="G90" s="8" t="inlineStr">
        <is>
          <t>Desktop</t>
        </is>
      </c>
      <c r="H90" s="8" t="inlineStr">
        <is>
          <t>Need creation of new user account for onboarding</t>
        </is>
      </c>
      <c r="I90" s="8" t="inlineStr">
        <is>
          <t>Access</t>
        </is>
      </c>
      <c r="J90" s="8" t="inlineStr">
        <is>
          <t>User Creation</t>
        </is>
      </c>
      <c r="K90" s="8" t="inlineStr">
        <is>
          <t>Azure AD</t>
        </is>
      </c>
      <c r="L90" s="8" t="inlineStr">
        <is>
          <t>Medium</t>
        </is>
      </c>
      <c r="M90" s="8" t="inlineStr">
        <is>
          <t>L1 Service Desk</t>
        </is>
      </c>
      <c r="N90" s="8" t="inlineStr">
        <is>
          <t>No</t>
        </is>
      </c>
      <c r="O90" s="8" t="inlineStr">
        <is>
          <t>Resolved</t>
        </is>
      </c>
      <c r="P90" s="10" t="n">
        <v>2.2</v>
      </c>
      <c r="Q90" s="10" t="n">
        <v>4.5</v>
      </c>
      <c r="R90" s="10" t="n">
        <v>8</v>
      </c>
      <c r="S90" s="8">
        <f>IF(OR(O90="Open",O90="In Progress"),"Pending",IF(Q90&lt;=R90,"Yes","No"))</f>
        <v/>
      </c>
      <c r="T90" s="8" t="inlineStr">
        <is>
          <t>New hire onboarding</t>
        </is>
      </c>
      <c r="U90" s="8" t="inlineStr">
        <is>
          <t>Created account and assigned baseline groups</t>
        </is>
      </c>
      <c r="V90" s="8" t="inlineStr">
        <is>
          <t>No</t>
        </is>
      </c>
    </row>
    <row r="91">
      <c r="A91" s="8" t="inlineStr">
        <is>
          <t>INC100089</t>
        </is>
      </c>
      <c r="B91" s="9" t="n">
        <v>46038.15625</v>
      </c>
      <c r="C91" s="8" t="inlineStr">
        <is>
          <t>Chat</t>
        </is>
      </c>
      <c r="D91" s="8" t="inlineStr">
        <is>
          <t>Aarav Mehta</t>
        </is>
      </c>
      <c r="E91" s="8" t="inlineStr">
        <is>
          <t>US</t>
        </is>
      </c>
      <c r="F91" s="8" t="inlineStr">
        <is>
          <t>Legal</t>
        </is>
      </c>
      <c r="G91" s="8" t="inlineStr">
        <is>
          <t>Laptop</t>
        </is>
      </c>
      <c r="H91" s="8" t="inlineStr">
        <is>
          <t>Device marked non-compliant in management portal</t>
        </is>
      </c>
      <c r="I91" s="8" t="inlineStr">
        <is>
          <t>Compliance</t>
        </is>
      </c>
      <c r="J91" s="8" t="inlineStr">
        <is>
          <t>Compliance Alert</t>
        </is>
      </c>
      <c r="K91" s="8" t="inlineStr">
        <is>
          <t>Intune</t>
        </is>
      </c>
      <c r="L91" s="8" t="inlineStr">
        <is>
          <t>Medium</t>
        </is>
      </c>
      <c r="M91" s="8" t="inlineStr">
        <is>
          <t>L1 Endpoint Support</t>
        </is>
      </c>
      <c r="N91" s="8" t="inlineStr">
        <is>
          <t>No</t>
        </is>
      </c>
      <c r="O91" s="8" t="inlineStr">
        <is>
          <t>Closed</t>
        </is>
      </c>
      <c r="P91" s="10" t="n">
        <v>2.1</v>
      </c>
      <c r="Q91" s="10" t="n">
        <v>2.4</v>
      </c>
      <c r="R91" s="10" t="n">
        <v>8</v>
      </c>
      <c r="S91" s="8">
        <f>IF(OR(O91="Open",O91="In Progress"),"Pending",IF(Q91&lt;=R91,"Yes","No"))</f>
        <v/>
      </c>
      <c r="T91" s="8" t="inlineStr">
        <is>
          <t>Encryption / policy mismatch</t>
        </is>
      </c>
      <c r="U91" s="8" t="inlineStr">
        <is>
          <t>Triggered policy sync and updated compliance state</t>
        </is>
      </c>
      <c r="V91" s="8" t="inlineStr">
        <is>
          <t>No</t>
        </is>
      </c>
    </row>
    <row r="92">
      <c r="A92" s="8" t="inlineStr">
        <is>
          <t>INC100090</t>
        </is>
      </c>
      <c r="B92" s="9" t="n">
        <v>46054.8125</v>
      </c>
      <c r="C92" s="8" t="inlineStr">
        <is>
          <t>Phone</t>
        </is>
      </c>
      <c r="D92" s="8" t="inlineStr">
        <is>
          <t>Meera Mehta</t>
        </is>
      </c>
      <c r="E92" s="8" t="inlineStr">
        <is>
          <t>US</t>
        </is>
      </c>
      <c r="F92" s="8" t="inlineStr">
        <is>
          <t>HR</t>
        </is>
      </c>
      <c r="G92" s="8" t="inlineStr">
        <is>
          <t>iPhone</t>
        </is>
      </c>
      <c r="H92" s="8" t="inlineStr">
        <is>
          <t>VPN not connecting from remote location</t>
        </is>
      </c>
      <c r="I92" s="8" t="inlineStr">
        <is>
          <t>Access</t>
        </is>
      </c>
      <c r="J92" s="8" t="inlineStr">
        <is>
          <t>VPN Access</t>
        </is>
      </c>
      <c r="K92" s="8" t="inlineStr">
        <is>
          <t>VPN</t>
        </is>
      </c>
      <c r="L92" s="8" t="inlineStr">
        <is>
          <t>Medium</t>
        </is>
      </c>
      <c r="M92" s="8" t="inlineStr">
        <is>
          <t>L1 Service Desk</t>
        </is>
      </c>
      <c r="N92" s="8" t="inlineStr">
        <is>
          <t>No</t>
        </is>
      </c>
      <c r="O92" s="8" t="inlineStr">
        <is>
          <t>Resolved</t>
        </is>
      </c>
      <c r="P92" s="10" t="n">
        <v>2.3</v>
      </c>
      <c r="Q92" s="10" t="n">
        <v>3</v>
      </c>
      <c r="R92" s="10" t="n">
        <v>8</v>
      </c>
      <c r="S92" s="8">
        <f>IF(OR(O92="Open",O92="In Progress"),"Pending",IF(Q92&lt;=R92,"Yes","No"))</f>
        <v/>
      </c>
      <c r="T92" s="8" t="inlineStr">
        <is>
          <t>VPN client profile corruption</t>
        </is>
      </c>
      <c r="U92" s="8" t="inlineStr">
        <is>
          <t>Reconfigured VPN profile and validated connection</t>
        </is>
      </c>
      <c r="V92" s="8" t="inlineStr">
        <is>
          <t>Yes</t>
        </is>
      </c>
    </row>
    <row r="93">
      <c r="A93" s="8" t="inlineStr">
        <is>
          <t>INC100091</t>
        </is>
      </c>
      <c r="B93" s="9" t="n">
        <v>46040.8125</v>
      </c>
      <c r="C93" s="8" t="inlineStr">
        <is>
          <t>Email</t>
        </is>
      </c>
      <c r="D93" s="8" t="inlineStr">
        <is>
          <t>Arjun Patel</t>
        </is>
      </c>
      <c r="E93" s="8" t="inlineStr">
        <is>
          <t>US</t>
        </is>
      </c>
      <c r="F93" s="8" t="inlineStr">
        <is>
          <t>HR</t>
        </is>
      </c>
      <c r="G93" s="8" t="inlineStr">
        <is>
          <t>iPhone</t>
        </is>
      </c>
      <c r="H93" s="8" t="inlineStr">
        <is>
          <t>Access denied to SharePoint team site</t>
        </is>
      </c>
      <c r="I93" s="8" t="inlineStr">
        <is>
          <t>Access</t>
        </is>
      </c>
      <c r="J93" s="8" t="inlineStr">
        <is>
          <t>SharePoint Access</t>
        </is>
      </c>
      <c r="K93" s="8" t="inlineStr">
        <is>
          <t>SharePoint</t>
        </is>
      </c>
      <c r="L93" s="8" t="inlineStr">
        <is>
          <t>High</t>
        </is>
      </c>
      <c r="M93" s="8" t="inlineStr">
        <is>
          <t>L1 Collaboration Support</t>
        </is>
      </c>
      <c r="N93" s="8" t="inlineStr">
        <is>
          <t>No</t>
        </is>
      </c>
      <c r="O93" s="8" t="inlineStr">
        <is>
          <t>Closed</t>
        </is>
      </c>
      <c r="P93" s="10" t="n">
        <v>0.6</v>
      </c>
      <c r="Q93" s="10" t="n">
        <v>2.4</v>
      </c>
      <c r="R93" s="10" t="n">
        <v>4</v>
      </c>
      <c r="S93" s="8">
        <f>IF(OR(O93="Open",O93="In Progress"),"Pending",IF(Q93&lt;=R93,"Yes","No"))</f>
        <v/>
      </c>
      <c r="T93" s="8" t="inlineStr">
        <is>
          <t>Permission group missing</t>
        </is>
      </c>
      <c r="U93" s="8" t="inlineStr">
        <is>
          <t>Added user to correct SharePoint group</t>
        </is>
      </c>
      <c r="V93" s="8" t="inlineStr">
        <is>
          <t>Yes</t>
        </is>
      </c>
    </row>
    <row r="94">
      <c r="A94" s="8" t="inlineStr">
        <is>
          <t>INC100092</t>
        </is>
      </c>
      <c r="B94" s="9" t="n">
        <v>46065.83333333334</v>
      </c>
      <c r="C94" s="8" t="inlineStr">
        <is>
          <t>Phone</t>
        </is>
      </c>
      <c r="D94" s="8" t="inlineStr">
        <is>
          <t>Isha Nair</t>
        </is>
      </c>
      <c r="E94" s="8" t="inlineStr">
        <is>
          <t>UK</t>
        </is>
      </c>
      <c r="F94" s="8" t="inlineStr">
        <is>
          <t>Procurement</t>
        </is>
      </c>
      <c r="G94" s="8" t="inlineStr">
        <is>
          <t>iPhone</t>
        </is>
      </c>
      <c r="H94" s="8" t="inlineStr">
        <is>
          <t>Printer not responding for shared queue</t>
        </is>
      </c>
      <c r="I94" s="8" t="inlineStr">
        <is>
          <t>Hardware</t>
        </is>
      </c>
      <c r="J94" s="8" t="inlineStr">
        <is>
          <t>Printer Issue</t>
        </is>
      </c>
      <c r="K94" s="8" t="inlineStr">
        <is>
          <t>Printer</t>
        </is>
      </c>
      <c r="L94" s="8" t="inlineStr">
        <is>
          <t>Medium</t>
        </is>
      </c>
      <c r="M94" s="8" t="inlineStr">
        <is>
          <t>L1 Endpoint Support</t>
        </is>
      </c>
      <c r="N94" s="8" t="inlineStr">
        <is>
          <t>No</t>
        </is>
      </c>
      <c r="O94" s="8" t="inlineStr">
        <is>
          <t>Resolved</t>
        </is>
      </c>
      <c r="P94" s="10" t="n">
        <v>0.8</v>
      </c>
      <c r="Q94" s="10" t="n">
        <v>12.2</v>
      </c>
      <c r="R94" s="10" t="n">
        <v>8</v>
      </c>
      <c r="S94" s="8">
        <f>IF(OR(O94="Open",O94="In Progress"),"Pending",IF(Q94&lt;=R94,"Yes","No"))</f>
        <v/>
      </c>
      <c r="T94" s="8" t="inlineStr">
        <is>
          <t>Driver / spooler issue</t>
        </is>
      </c>
      <c r="U94" s="8" t="inlineStr">
        <is>
          <t>Restarted spooler and reinstalled driver</t>
        </is>
      </c>
      <c r="V94" s="8" t="inlineStr">
        <is>
          <t>Yes</t>
        </is>
      </c>
    </row>
    <row r="95">
      <c r="A95" s="8" t="inlineStr">
        <is>
          <t>INC100093</t>
        </is>
      </c>
      <c r="B95" s="9" t="n">
        <v>46079.03125</v>
      </c>
      <c r="C95" s="8" t="inlineStr">
        <is>
          <t>Email</t>
        </is>
      </c>
      <c r="D95" s="8" t="inlineStr">
        <is>
          <t>Sanjay Singh</t>
        </is>
      </c>
      <c r="E95" s="8" t="inlineStr">
        <is>
          <t>India</t>
        </is>
      </c>
      <c r="F95" s="8" t="inlineStr">
        <is>
          <t>Legal</t>
        </is>
      </c>
      <c r="G95" s="8" t="inlineStr">
        <is>
          <t>Desktop</t>
        </is>
      </c>
      <c r="H95" s="8" t="inlineStr">
        <is>
          <t>VPN not connecting from remote location</t>
        </is>
      </c>
      <c r="I95" s="8" t="inlineStr">
        <is>
          <t>Access</t>
        </is>
      </c>
      <c r="J95" s="8" t="inlineStr">
        <is>
          <t>VPN Access</t>
        </is>
      </c>
      <c r="K95" s="8" t="inlineStr">
        <is>
          <t>VPN</t>
        </is>
      </c>
      <c r="L95" s="8" t="inlineStr">
        <is>
          <t>Medium</t>
        </is>
      </c>
      <c r="M95" s="8" t="inlineStr">
        <is>
          <t>L1 Service Desk</t>
        </is>
      </c>
      <c r="N95" s="8" t="inlineStr">
        <is>
          <t>No</t>
        </is>
      </c>
      <c r="O95" s="8" t="inlineStr">
        <is>
          <t>Closed</t>
        </is>
      </c>
      <c r="P95" s="10" t="n">
        <v>1.3</v>
      </c>
      <c r="Q95" s="10" t="n">
        <v>6.9</v>
      </c>
      <c r="R95" s="10" t="n">
        <v>8</v>
      </c>
      <c r="S95" s="8">
        <f>IF(OR(O95="Open",O95="In Progress"),"Pending",IF(Q95&lt;=R95,"Yes","No"))</f>
        <v/>
      </c>
      <c r="T95" s="8" t="inlineStr">
        <is>
          <t>VPN client profile corruption</t>
        </is>
      </c>
      <c r="U95" s="8" t="inlineStr">
        <is>
          <t>Reconfigured VPN profile and validated connection</t>
        </is>
      </c>
      <c r="V95" s="8" t="inlineStr">
        <is>
          <t>Yes</t>
        </is>
      </c>
    </row>
    <row r="96">
      <c r="A96" s="8" t="inlineStr">
        <is>
          <t>INC100094</t>
        </is>
      </c>
      <c r="B96" s="9" t="n">
        <v>46043.04166666666</v>
      </c>
      <c r="C96" s="8" t="inlineStr">
        <is>
          <t>Email</t>
        </is>
      </c>
      <c r="D96" s="8" t="inlineStr">
        <is>
          <t>Meera Kapoor</t>
        </is>
      </c>
      <c r="E96" s="8" t="inlineStr">
        <is>
          <t>APAC</t>
        </is>
      </c>
      <c r="F96" s="8" t="inlineStr">
        <is>
          <t>Legal</t>
        </is>
      </c>
      <c r="G96" s="8" t="inlineStr">
        <is>
          <t>Desktop</t>
        </is>
      </c>
      <c r="H96" s="8" t="inlineStr">
        <is>
          <t>Account needs disablement after employee exit</t>
        </is>
      </c>
      <c r="I96" s="8" t="inlineStr">
        <is>
          <t>Access</t>
        </is>
      </c>
      <c r="J96" s="8" t="inlineStr">
        <is>
          <t>Offboarding</t>
        </is>
      </c>
      <c r="K96" s="8" t="inlineStr">
        <is>
          <t>Active Directory</t>
        </is>
      </c>
      <c r="L96" s="8" t="inlineStr">
        <is>
          <t>Medium</t>
        </is>
      </c>
      <c r="M96" s="8" t="inlineStr">
        <is>
          <t>L1 Service Desk</t>
        </is>
      </c>
      <c r="N96" s="8" t="inlineStr">
        <is>
          <t>No</t>
        </is>
      </c>
      <c r="O96" s="8" t="inlineStr">
        <is>
          <t>Closed</t>
        </is>
      </c>
      <c r="P96" s="10" t="n">
        <v>2.3</v>
      </c>
      <c r="Q96" s="10" t="n">
        <v>3.3</v>
      </c>
      <c r="R96" s="10" t="n">
        <v>8</v>
      </c>
      <c r="S96" s="8">
        <f>IF(OR(O96="Open",O96="In Progress"),"Pending",IF(Q96&lt;=R96,"Yes","No"))</f>
        <v/>
      </c>
      <c r="T96" s="8" t="inlineStr">
        <is>
          <t>Offboarding request received</t>
        </is>
      </c>
      <c r="U96" s="8" t="inlineStr">
        <is>
          <t>Disabled account and removed active sessions</t>
        </is>
      </c>
      <c r="V96" s="8" t="inlineStr">
        <is>
          <t>Yes</t>
        </is>
      </c>
    </row>
    <row r="97">
      <c r="A97" s="8" t="inlineStr">
        <is>
          <t>INC100095</t>
        </is>
      </c>
      <c r="B97" s="9" t="n">
        <v>46056.45833333334</v>
      </c>
      <c r="C97" s="8" t="inlineStr">
        <is>
          <t>Chat</t>
        </is>
      </c>
      <c r="D97" s="8" t="inlineStr">
        <is>
          <t>Lavanya Jain</t>
        </is>
      </c>
      <c r="E97" s="8" t="inlineStr">
        <is>
          <t>APAC</t>
        </is>
      </c>
      <c r="F97" s="8" t="inlineStr">
        <is>
          <t>Procurement</t>
        </is>
      </c>
      <c r="G97" s="8" t="inlineStr">
        <is>
          <t>Thin Client</t>
        </is>
      </c>
      <c r="H97" s="8" t="inlineStr">
        <is>
          <t>Printer not responding for shared queue</t>
        </is>
      </c>
      <c r="I97" s="8" t="inlineStr">
        <is>
          <t>Hardware</t>
        </is>
      </c>
      <c r="J97" s="8" t="inlineStr">
        <is>
          <t>Printer Issue</t>
        </is>
      </c>
      <c r="K97" s="8" t="inlineStr">
        <is>
          <t>Printer</t>
        </is>
      </c>
      <c r="L97" s="8" t="inlineStr">
        <is>
          <t>Medium</t>
        </is>
      </c>
      <c r="M97" s="8" t="inlineStr">
        <is>
          <t>L1 Endpoint Support</t>
        </is>
      </c>
      <c r="N97" s="8" t="inlineStr">
        <is>
          <t>No</t>
        </is>
      </c>
      <c r="O97" s="8" t="inlineStr">
        <is>
          <t>Resolved</t>
        </is>
      </c>
      <c r="P97" s="10" t="n">
        <v>0.9</v>
      </c>
      <c r="Q97" s="10" t="n">
        <v>10.1</v>
      </c>
      <c r="R97" s="10" t="n">
        <v>8</v>
      </c>
      <c r="S97" s="8">
        <f>IF(OR(O97="Open",O97="In Progress"),"Pending",IF(Q97&lt;=R97,"Yes","No"))</f>
        <v/>
      </c>
      <c r="T97" s="8" t="inlineStr">
        <is>
          <t>Driver / spooler issue</t>
        </is>
      </c>
      <c r="U97" s="8" t="inlineStr">
        <is>
          <t>Restarted spooler and reinstalled driver</t>
        </is>
      </c>
      <c r="V97" s="8" t="inlineStr">
        <is>
          <t>No</t>
        </is>
      </c>
    </row>
    <row r="98">
      <c r="A98" s="8" t="inlineStr">
        <is>
          <t>INC100096</t>
        </is>
      </c>
      <c r="B98" s="9" t="n">
        <v>46088.79166666666</v>
      </c>
      <c r="C98" s="8" t="inlineStr">
        <is>
          <t>Email</t>
        </is>
      </c>
      <c r="D98" s="8" t="inlineStr">
        <is>
          <t>Ananya Das</t>
        </is>
      </c>
      <c r="E98" s="8" t="inlineStr">
        <is>
          <t>APAC</t>
        </is>
      </c>
      <c r="F98" s="8" t="inlineStr">
        <is>
          <t>IT</t>
        </is>
      </c>
      <c r="G98" s="8" t="inlineStr">
        <is>
          <t>Thin Client</t>
        </is>
      </c>
      <c r="H98" s="8" t="inlineStr">
        <is>
          <t>Teams login failure after password change</t>
        </is>
      </c>
      <c r="I98" s="8" t="inlineStr">
        <is>
          <t>Software</t>
        </is>
      </c>
      <c r="J98" s="8" t="inlineStr">
        <is>
          <t>Teams Login</t>
        </is>
      </c>
      <c r="K98" s="8" t="inlineStr">
        <is>
          <t>Microsoft Teams</t>
        </is>
      </c>
      <c r="L98" s="8" t="inlineStr">
        <is>
          <t>Low</t>
        </is>
      </c>
      <c r="M98" s="8" t="inlineStr">
        <is>
          <t>L1 Service Desk</t>
        </is>
      </c>
      <c r="N98" s="8" t="inlineStr">
        <is>
          <t>No</t>
        </is>
      </c>
      <c r="O98" s="8" t="inlineStr">
        <is>
          <t>Resolved</t>
        </is>
      </c>
      <c r="P98" s="10" t="n">
        <v>2.6</v>
      </c>
      <c r="Q98" s="10" t="n">
        <v>6.6</v>
      </c>
      <c r="R98" s="10" t="n">
        <v>16</v>
      </c>
      <c r="S98" s="8">
        <f>IF(OR(O98="Open",O98="In Progress"),"Pending",IF(Q98&lt;=R98,"Yes","No"))</f>
        <v/>
      </c>
      <c r="T98" s="8" t="inlineStr">
        <is>
          <t>Cached credentials mismatch</t>
        </is>
      </c>
      <c r="U98" s="8" t="inlineStr">
        <is>
          <t>Cleared Teams cache and reauthenticated</t>
        </is>
      </c>
      <c r="V98" s="8" t="inlineStr">
        <is>
          <t>Yes</t>
        </is>
      </c>
    </row>
    <row r="99">
      <c r="A99" s="8" t="inlineStr">
        <is>
          <t>INC100097</t>
        </is>
      </c>
      <c r="B99" s="9" t="n">
        <v>46057.48958333334</v>
      </c>
      <c r="C99" s="8" t="inlineStr">
        <is>
          <t>Phone</t>
        </is>
      </c>
      <c r="D99" s="8" t="inlineStr">
        <is>
          <t>Arjun Kumar</t>
        </is>
      </c>
      <c r="E99" s="8" t="inlineStr">
        <is>
          <t>US</t>
        </is>
      </c>
      <c r="F99" s="8" t="inlineStr">
        <is>
          <t>Operations</t>
        </is>
      </c>
      <c r="G99" s="8" t="inlineStr">
        <is>
          <t>Desktop</t>
        </is>
      </c>
      <c r="H99" s="8" t="inlineStr">
        <is>
          <t>MFA push not received on mobile device</t>
        </is>
      </c>
      <c r="I99" s="8" t="inlineStr">
        <is>
          <t>Access</t>
        </is>
      </c>
      <c r="J99" s="8" t="inlineStr">
        <is>
          <t>MFA Failure</t>
        </is>
      </c>
      <c r="K99" s="8" t="inlineStr">
        <is>
          <t>Okta</t>
        </is>
      </c>
      <c r="L99" s="8" t="inlineStr">
        <is>
          <t>High</t>
        </is>
      </c>
      <c r="M99" s="8" t="inlineStr">
        <is>
          <t>L1 IAM Support</t>
        </is>
      </c>
      <c r="N99" s="8" t="inlineStr">
        <is>
          <t>No</t>
        </is>
      </c>
      <c r="O99" s="8" t="inlineStr">
        <is>
          <t>Resolved</t>
        </is>
      </c>
      <c r="P99" s="10" t="n">
        <v>0.7</v>
      </c>
      <c r="Q99" s="10" t="n">
        <v>2.3</v>
      </c>
      <c r="R99" s="10" t="n">
        <v>4</v>
      </c>
      <c r="S99" s="8">
        <f>IF(OR(O99="Open",O99="In Progress"),"Pending",IF(Q99&lt;=R99,"Yes","No"))</f>
        <v/>
      </c>
      <c r="T99" s="8" t="inlineStr">
        <is>
          <t>Device not enrolled correctly</t>
        </is>
      </c>
      <c r="U99" s="8" t="inlineStr">
        <is>
          <t>Re-enrolled MFA in Okta and tested push</t>
        </is>
      </c>
      <c r="V99" s="8" t="inlineStr">
        <is>
          <t>Yes</t>
        </is>
      </c>
    </row>
    <row r="100">
      <c r="A100" s="8" t="inlineStr">
        <is>
          <t>INC100098</t>
        </is>
      </c>
      <c r="B100" s="9" t="n">
        <v>46039.53125</v>
      </c>
      <c r="C100" s="8" t="inlineStr">
        <is>
          <t>Portal</t>
        </is>
      </c>
      <c r="D100" s="8" t="inlineStr">
        <is>
          <t>Kiran Patel</t>
        </is>
      </c>
      <c r="E100" s="8" t="inlineStr">
        <is>
          <t>US</t>
        </is>
      </c>
      <c r="F100" s="8" t="inlineStr">
        <is>
          <t>Operations</t>
        </is>
      </c>
      <c r="G100" s="8" t="inlineStr">
        <is>
          <t>Laptop</t>
        </is>
      </c>
      <c r="H100" s="8" t="inlineStr">
        <is>
          <t>Printer not responding for shared queue</t>
        </is>
      </c>
      <c r="I100" s="8" t="inlineStr">
        <is>
          <t>Hardware</t>
        </is>
      </c>
      <c r="J100" s="8" t="inlineStr">
        <is>
          <t>Printer Issue</t>
        </is>
      </c>
      <c r="K100" s="8" t="inlineStr">
        <is>
          <t>Printer</t>
        </is>
      </c>
      <c r="L100" s="8" t="inlineStr">
        <is>
          <t>Low</t>
        </is>
      </c>
      <c r="M100" s="8" t="inlineStr">
        <is>
          <t>L1 Endpoint Support</t>
        </is>
      </c>
      <c r="N100" s="8" t="inlineStr">
        <is>
          <t>No</t>
        </is>
      </c>
      <c r="O100" s="8" t="inlineStr">
        <is>
          <t>Closed</t>
        </is>
      </c>
      <c r="P100" s="10" t="n">
        <v>1.5</v>
      </c>
      <c r="Q100" s="10" t="n">
        <v>10.6</v>
      </c>
      <c r="R100" s="10" t="n">
        <v>16</v>
      </c>
      <c r="S100" s="8">
        <f>IF(OR(O100="Open",O100="In Progress"),"Pending",IF(Q100&lt;=R100,"Yes","No"))</f>
        <v/>
      </c>
      <c r="T100" s="8" t="inlineStr">
        <is>
          <t>Driver / spooler issue</t>
        </is>
      </c>
      <c r="U100" s="8" t="inlineStr">
        <is>
          <t>Restarted spooler and reinstalled driver</t>
        </is>
      </c>
      <c r="V100" s="8" t="inlineStr">
        <is>
          <t>Yes</t>
        </is>
      </c>
    </row>
    <row r="101">
      <c r="A101" s="8" t="inlineStr">
        <is>
          <t>INC100099</t>
        </is>
      </c>
      <c r="B101" s="9" t="n">
        <v>46073.88541666666</v>
      </c>
      <c r="C101" s="8" t="inlineStr">
        <is>
          <t>Chat</t>
        </is>
      </c>
      <c r="D101" s="8" t="inlineStr">
        <is>
          <t>Ananya Verma</t>
        </is>
      </c>
      <c r="E101" s="8" t="inlineStr">
        <is>
          <t>APAC</t>
        </is>
      </c>
      <c r="F101" s="8" t="inlineStr">
        <is>
          <t>Sales</t>
        </is>
      </c>
      <c r="G101" s="8" t="inlineStr">
        <is>
          <t>Thin Client</t>
        </is>
      </c>
      <c r="H101" s="8" t="inlineStr">
        <is>
          <t>Antivirus disabled warning on endpoint</t>
        </is>
      </c>
      <c r="I101" s="8" t="inlineStr">
        <is>
          <t>Compliance</t>
        </is>
      </c>
      <c r="J101" s="8" t="inlineStr">
        <is>
          <t>Security Alert</t>
        </is>
      </c>
      <c r="K101" s="8" t="inlineStr">
        <is>
          <t>Intune</t>
        </is>
      </c>
      <c r="L101" s="8" t="inlineStr">
        <is>
          <t>High</t>
        </is>
      </c>
      <c r="M101" s="8" t="inlineStr">
        <is>
          <t>L1 Endpoint Support</t>
        </is>
      </c>
      <c r="N101" s="8" t="inlineStr">
        <is>
          <t>No</t>
        </is>
      </c>
      <c r="O101" s="8" t="inlineStr">
        <is>
          <t>Closed</t>
        </is>
      </c>
      <c r="P101" s="10" t="n">
        <v>0.6</v>
      </c>
      <c r="Q101" s="10" t="n">
        <v>1.6</v>
      </c>
      <c r="R101" s="10" t="n">
        <v>4</v>
      </c>
      <c r="S101" s="8">
        <f>IF(OR(O101="Open",O101="In Progress"),"Pending",IF(Q101&lt;=R101,"Yes","No"))</f>
        <v/>
      </c>
      <c r="T101" s="8" t="inlineStr">
        <is>
          <t>Protection service stopped</t>
        </is>
      </c>
      <c r="U101" s="8" t="inlineStr">
        <is>
          <t>Restarted endpoint protection service and rechecked</t>
        </is>
      </c>
      <c r="V101" s="8" t="inlineStr">
        <is>
          <t>No</t>
        </is>
      </c>
    </row>
    <row r="102">
      <c r="A102" s="8" t="inlineStr">
        <is>
          <t>INC100100</t>
        </is>
      </c>
      <c r="B102" s="9" t="n">
        <v>46098.01041666666</v>
      </c>
      <c r="C102" s="8" t="inlineStr">
        <is>
          <t>Portal</t>
        </is>
      </c>
      <c r="D102" s="8" t="inlineStr">
        <is>
          <t>Nikita Patel</t>
        </is>
      </c>
      <c r="E102" s="8" t="inlineStr">
        <is>
          <t>UK</t>
        </is>
      </c>
      <c r="F102" s="8" t="inlineStr">
        <is>
          <t>Finance</t>
        </is>
      </c>
      <c r="G102" s="8" t="inlineStr">
        <is>
          <t>iPhone</t>
        </is>
      </c>
      <c r="H102" s="8" t="inlineStr">
        <is>
          <t>Device marked non-compliant in management portal</t>
        </is>
      </c>
      <c r="I102" s="8" t="inlineStr">
        <is>
          <t>Compliance</t>
        </is>
      </c>
      <c r="J102" s="8" t="inlineStr">
        <is>
          <t>Compliance Alert</t>
        </is>
      </c>
      <c r="K102" s="8" t="inlineStr">
        <is>
          <t>Intune</t>
        </is>
      </c>
      <c r="L102" s="8" t="inlineStr">
        <is>
          <t>High</t>
        </is>
      </c>
      <c r="M102" s="8" t="inlineStr">
        <is>
          <t>L1 Endpoint Support</t>
        </is>
      </c>
      <c r="N102" s="8" t="inlineStr">
        <is>
          <t>No</t>
        </is>
      </c>
      <c r="O102" s="8" t="inlineStr">
        <is>
          <t>Resolved</t>
        </is>
      </c>
      <c r="P102" s="10" t="n">
        <v>0.9</v>
      </c>
      <c r="Q102" s="10" t="n">
        <v>4.9</v>
      </c>
      <c r="R102" s="10" t="n">
        <v>4</v>
      </c>
      <c r="S102" s="8">
        <f>IF(OR(O102="Open",O102="In Progress"),"Pending",IF(Q102&lt;=R102,"Yes","No"))</f>
        <v/>
      </c>
      <c r="T102" s="8" t="inlineStr">
        <is>
          <t>Encryption / policy mismatch</t>
        </is>
      </c>
      <c r="U102" s="8" t="inlineStr">
        <is>
          <t>Triggered policy sync and updated compliance state</t>
        </is>
      </c>
      <c r="V102" s="8" t="inlineStr">
        <is>
          <t>No</t>
        </is>
      </c>
    </row>
    <row r="103">
      <c r="A103" s="8" t="inlineStr">
        <is>
          <t>INC100101</t>
        </is>
      </c>
      <c r="B103" s="9" t="n">
        <v>46066.67708333334</v>
      </c>
      <c r="C103" s="8" t="inlineStr">
        <is>
          <t>Chat</t>
        </is>
      </c>
      <c r="D103" s="8" t="inlineStr">
        <is>
          <t>Pooja Reddy</t>
        </is>
      </c>
      <c r="E103" s="8" t="inlineStr">
        <is>
          <t>US</t>
        </is>
      </c>
      <c r="F103" s="8" t="inlineStr">
        <is>
          <t>Legal</t>
        </is>
      </c>
      <c r="G103" s="8" t="inlineStr">
        <is>
          <t>Laptop</t>
        </is>
      </c>
      <c r="H103" s="8" t="inlineStr">
        <is>
          <t>MFA push not received on mobile device</t>
        </is>
      </c>
      <c r="I103" s="8" t="inlineStr">
        <is>
          <t>Access</t>
        </is>
      </c>
      <c r="J103" s="8" t="inlineStr">
        <is>
          <t>MFA Failure</t>
        </is>
      </c>
      <c r="K103" s="8" t="inlineStr">
        <is>
          <t>Okta</t>
        </is>
      </c>
      <c r="L103" s="8" t="inlineStr">
        <is>
          <t>Medium</t>
        </is>
      </c>
      <c r="M103" s="8" t="inlineStr">
        <is>
          <t>L1 IAM Support</t>
        </is>
      </c>
      <c r="N103" s="8" t="inlineStr">
        <is>
          <t>No</t>
        </is>
      </c>
      <c r="O103" s="8" t="inlineStr">
        <is>
          <t>Closed</t>
        </is>
      </c>
      <c r="P103" s="10" t="n">
        <v>0.2</v>
      </c>
      <c r="Q103" s="10" t="n">
        <v>4</v>
      </c>
      <c r="R103" s="10" t="n">
        <v>8</v>
      </c>
      <c r="S103" s="8">
        <f>IF(OR(O103="Open",O103="In Progress"),"Pending",IF(Q103&lt;=R103,"Yes","No"))</f>
        <v/>
      </c>
      <c r="T103" s="8" t="inlineStr">
        <is>
          <t>Device not enrolled correctly</t>
        </is>
      </c>
      <c r="U103" s="8" t="inlineStr">
        <is>
          <t>Re-enrolled MFA in Okta and tested push</t>
        </is>
      </c>
      <c r="V103" s="8" t="inlineStr">
        <is>
          <t>Yes</t>
        </is>
      </c>
    </row>
    <row r="104">
      <c r="A104" s="8" t="inlineStr">
        <is>
          <t>INC100102</t>
        </is>
      </c>
      <c r="B104" s="9" t="n">
        <v>46055.5</v>
      </c>
      <c r="C104" s="8" t="inlineStr">
        <is>
          <t>Phone</t>
        </is>
      </c>
      <c r="D104" s="8" t="inlineStr">
        <is>
          <t>Ravi Verma</t>
        </is>
      </c>
      <c r="E104" s="8" t="inlineStr">
        <is>
          <t>US</t>
        </is>
      </c>
      <c r="F104" s="8" t="inlineStr">
        <is>
          <t>Operations</t>
        </is>
      </c>
      <c r="G104" s="8" t="inlineStr">
        <is>
          <t>Desktop</t>
        </is>
      </c>
      <c r="H104" s="8" t="inlineStr">
        <is>
          <t>Access denied to SharePoint team site</t>
        </is>
      </c>
      <c r="I104" s="8" t="inlineStr">
        <is>
          <t>Access</t>
        </is>
      </c>
      <c r="J104" s="8" t="inlineStr">
        <is>
          <t>SharePoint Access</t>
        </is>
      </c>
      <c r="K104" s="8" t="inlineStr">
        <is>
          <t>SharePoint</t>
        </is>
      </c>
      <c r="L104" s="8" t="inlineStr">
        <is>
          <t>High</t>
        </is>
      </c>
      <c r="M104" s="8" t="inlineStr">
        <is>
          <t>L1 Collaboration Support</t>
        </is>
      </c>
      <c r="N104" s="8" t="inlineStr">
        <is>
          <t>No</t>
        </is>
      </c>
      <c r="O104" s="8" t="inlineStr">
        <is>
          <t>Closed</t>
        </is>
      </c>
      <c r="P104" s="10" t="n">
        <v>0.9</v>
      </c>
      <c r="Q104" s="10" t="n">
        <v>1.2</v>
      </c>
      <c r="R104" s="10" t="n">
        <v>4</v>
      </c>
      <c r="S104" s="8">
        <f>IF(OR(O104="Open",O104="In Progress"),"Pending",IF(Q104&lt;=R104,"Yes","No"))</f>
        <v/>
      </c>
      <c r="T104" s="8" t="inlineStr">
        <is>
          <t>Permission group missing</t>
        </is>
      </c>
      <c r="U104" s="8" t="inlineStr">
        <is>
          <t>Added user to correct SharePoint group</t>
        </is>
      </c>
      <c r="V104" s="8" t="inlineStr">
        <is>
          <t>Yes</t>
        </is>
      </c>
    </row>
    <row r="105">
      <c r="A105" s="8" t="inlineStr">
        <is>
          <t>INC100103</t>
        </is>
      </c>
      <c r="B105" s="9" t="n">
        <v>46050.17708333334</v>
      </c>
      <c r="C105" s="8" t="inlineStr">
        <is>
          <t>Chat</t>
        </is>
      </c>
      <c r="D105" s="8" t="inlineStr">
        <is>
          <t>Kiran Das</t>
        </is>
      </c>
      <c r="E105" s="8" t="inlineStr">
        <is>
          <t>APAC</t>
        </is>
      </c>
      <c r="F105" s="8" t="inlineStr">
        <is>
          <t>HR</t>
        </is>
      </c>
      <c r="G105" s="8" t="inlineStr">
        <is>
          <t>Laptop</t>
        </is>
      </c>
      <c r="H105" s="8" t="inlineStr">
        <is>
          <t>VPN not connecting from remote location</t>
        </is>
      </c>
      <c r="I105" s="8" t="inlineStr">
        <is>
          <t>Access</t>
        </is>
      </c>
      <c r="J105" s="8" t="inlineStr">
        <is>
          <t>VPN Access</t>
        </is>
      </c>
      <c r="K105" s="8" t="inlineStr">
        <is>
          <t>VPN</t>
        </is>
      </c>
      <c r="L105" s="8" t="inlineStr">
        <is>
          <t>High</t>
        </is>
      </c>
      <c r="M105" s="8" t="inlineStr">
        <is>
          <t>L1 Service Desk</t>
        </is>
      </c>
      <c r="N105" s="8" t="inlineStr">
        <is>
          <t>No</t>
        </is>
      </c>
      <c r="O105" s="8" t="inlineStr">
        <is>
          <t>Closed</t>
        </is>
      </c>
      <c r="P105" s="10" t="n">
        <v>0.2</v>
      </c>
      <c r="Q105" s="10" t="n">
        <v>1.5</v>
      </c>
      <c r="R105" s="10" t="n">
        <v>4</v>
      </c>
      <c r="S105" s="8">
        <f>IF(OR(O105="Open",O105="In Progress"),"Pending",IF(Q105&lt;=R105,"Yes","No"))</f>
        <v/>
      </c>
      <c r="T105" s="8" t="inlineStr">
        <is>
          <t>VPN client profile corruption</t>
        </is>
      </c>
      <c r="U105" s="8" t="inlineStr">
        <is>
          <t>Reconfigured VPN profile and validated connection</t>
        </is>
      </c>
      <c r="V105" s="8" t="inlineStr">
        <is>
          <t>No</t>
        </is>
      </c>
    </row>
    <row r="106">
      <c r="A106" s="8" t="inlineStr">
        <is>
          <t>INC100104</t>
        </is>
      </c>
      <c r="B106" s="9" t="n">
        <v>46070.95833333334</v>
      </c>
      <c r="C106" s="8" t="inlineStr">
        <is>
          <t>Chat</t>
        </is>
      </c>
      <c r="D106" s="8" t="inlineStr">
        <is>
          <t>Manoj Singh</t>
        </is>
      </c>
      <c r="E106" s="8" t="inlineStr">
        <is>
          <t>US</t>
        </is>
      </c>
      <c r="F106" s="8" t="inlineStr">
        <is>
          <t>Operations</t>
        </is>
      </c>
      <c r="G106" s="8" t="inlineStr">
        <is>
          <t>Desktop</t>
        </is>
      </c>
      <c r="H106" s="8" t="inlineStr">
        <is>
          <t>VPN not connecting from remote location</t>
        </is>
      </c>
      <c r="I106" s="8" t="inlineStr">
        <is>
          <t>Access</t>
        </is>
      </c>
      <c r="J106" s="8" t="inlineStr">
        <is>
          <t>VPN Access</t>
        </is>
      </c>
      <c r="K106" s="8" t="inlineStr">
        <is>
          <t>VPN</t>
        </is>
      </c>
      <c r="L106" s="8" t="inlineStr">
        <is>
          <t>High</t>
        </is>
      </c>
      <c r="M106" s="8" t="inlineStr">
        <is>
          <t>L1 Service Desk</t>
        </is>
      </c>
      <c r="N106" s="8" t="inlineStr">
        <is>
          <t>No</t>
        </is>
      </c>
      <c r="O106" s="8" t="inlineStr">
        <is>
          <t>Resolved</t>
        </is>
      </c>
      <c r="P106" s="10" t="n">
        <v>0.8</v>
      </c>
      <c r="Q106" s="10" t="n">
        <v>1.5</v>
      </c>
      <c r="R106" s="10" t="n">
        <v>4</v>
      </c>
      <c r="S106" s="8">
        <f>IF(OR(O106="Open",O106="In Progress"),"Pending",IF(Q106&lt;=R106,"Yes","No"))</f>
        <v/>
      </c>
      <c r="T106" s="8" t="inlineStr">
        <is>
          <t>VPN client profile corruption</t>
        </is>
      </c>
      <c r="U106" s="8" t="inlineStr">
        <is>
          <t>Reconfigured VPN profile and validated connection</t>
        </is>
      </c>
      <c r="V106" s="8" t="inlineStr">
        <is>
          <t>Yes</t>
        </is>
      </c>
    </row>
    <row r="107">
      <c r="A107" s="8" t="inlineStr">
        <is>
          <t>INC100105</t>
        </is>
      </c>
      <c r="B107" s="9" t="n">
        <v>46034.08333333334</v>
      </c>
      <c r="C107" s="8" t="inlineStr">
        <is>
          <t>Portal</t>
        </is>
      </c>
      <c r="D107" s="8" t="inlineStr">
        <is>
          <t>Karthik Rao</t>
        </is>
      </c>
      <c r="E107" s="8" t="inlineStr">
        <is>
          <t>APAC</t>
        </is>
      </c>
      <c r="F107" s="8" t="inlineStr">
        <is>
          <t>Finance</t>
        </is>
      </c>
      <c r="G107" s="8" t="inlineStr">
        <is>
          <t>Desktop</t>
        </is>
      </c>
      <c r="H107" s="8" t="inlineStr">
        <is>
          <t>Account needs disablement after employee exit</t>
        </is>
      </c>
      <c r="I107" s="8" t="inlineStr">
        <is>
          <t>Access</t>
        </is>
      </c>
      <c r="J107" s="8" t="inlineStr">
        <is>
          <t>Offboarding</t>
        </is>
      </c>
      <c r="K107" s="8" t="inlineStr">
        <is>
          <t>Active Directory</t>
        </is>
      </c>
      <c r="L107" s="8" t="inlineStr">
        <is>
          <t>Medium</t>
        </is>
      </c>
      <c r="M107" s="8" t="inlineStr">
        <is>
          <t>L1 Service Desk</t>
        </is>
      </c>
      <c r="N107" s="8" t="inlineStr">
        <is>
          <t>No</t>
        </is>
      </c>
      <c r="O107" s="8" t="inlineStr">
        <is>
          <t>Closed</t>
        </is>
      </c>
      <c r="P107" s="10" t="n">
        <v>1.9</v>
      </c>
      <c r="Q107" s="10" t="n">
        <v>9.6</v>
      </c>
      <c r="R107" s="10" t="n">
        <v>8</v>
      </c>
      <c r="S107" s="8">
        <f>IF(OR(O107="Open",O107="In Progress"),"Pending",IF(Q107&lt;=R107,"Yes","No"))</f>
        <v/>
      </c>
      <c r="T107" s="8" t="inlineStr">
        <is>
          <t>Offboarding request received</t>
        </is>
      </c>
      <c r="U107" s="8" t="inlineStr">
        <is>
          <t>Disabled account and removed active sessions</t>
        </is>
      </c>
      <c r="V107" s="8" t="inlineStr">
        <is>
          <t>Yes</t>
        </is>
      </c>
    </row>
    <row r="108">
      <c r="A108" s="8" t="inlineStr">
        <is>
          <t>INC100106</t>
        </is>
      </c>
      <c r="B108" s="9" t="n">
        <v>46092.89583333334</v>
      </c>
      <c r="C108" s="8" t="inlineStr">
        <is>
          <t>Email</t>
        </is>
      </c>
      <c r="D108" s="8" t="inlineStr">
        <is>
          <t>Kiran Sharma</t>
        </is>
      </c>
      <c r="E108" s="8" t="inlineStr">
        <is>
          <t>UK</t>
        </is>
      </c>
      <c r="F108" s="8" t="inlineStr">
        <is>
          <t>IT</t>
        </is>
      </c>
      <c r="G108" s="8" t="inlineStr">
        <is>
          <t>iPhone</t>
        </is>
      </c>
      <c r="H108" s="8" t="inlineStr">
        <is>
          <t>Role-based access required for finance application</t>
        </is>
      </c>
      <c r="I108" s="8" t="inlineStr">
        <is>
          <t>Access</t>
        </is>
      </c>
      <c r="J108" s="8" t="inlineStr">
        <is>
          <t>Role Assignment</t>
        </is>
      </c>
      <c r="K108" s="8" t="inlineStr">
        <is>
          <t>Azure AD</t>
        </is>
      </c>
      <c r="L108" s="8" t="inlineStr">
        <is>
          <t>Medium</t>
        </is>
      </c>
      <c r="M108" s="8" t="inlineStr">
        <is>
          <t>L1 Service Desk</t>
        </is>
      </c>
      <c r="N108" s="8" t="inlineStr">
        <is>
          <t>No</t>
        </is>
      </c>
      <c r="O108" s="8" t="inlineStr">
        <is>
          <t>In Progress</t>
        </is>
      </c>
      <c r="P108" s="10" t="n">
        <v>3.4</v>
      </c>
      <c r="Q108" s="10" t="n"/>
      <c r="R108" s="10" t="n">
        <v>8</v>
      </c>
      <c r="S108" s="8">
        <f>IF(OR(O108="Open",O108="In Progress"),"Pending",IF(Q108&lt;=R108,"Yes","No"))</f>
        <v/>
      </c>
      <c r="T108" s="8" t="inlineStr">
        <is>
          <t>Missing app role assignment</t>
        </is>
      </c>
      <c r="U108" s="8" t="inlineStr">
        <is>
          <t>Pending specialist review / awaiting user confirmation</t>
        </is>
      </c>
      <c r="V108" s="8" t="inlineStr">
        <is>
          <t>No</t>
        </is>
      </c>
    </row>
    <row r="109">
      <c r="A109" s="8" t="inlineStr">
        <is>
          <t>INC100107</t>
        </is>
      </c>
      <c r="B109" s="9" t="n">
        <v>46043.88541666666</v>
      </c>
      <c r="C109" s="8" t="inlineStr">
        <is>
          <t>Chat</t>
        </is>
      </c>
      <c r="D109" s="8" t="inlineStr">
        <is>
          <t>Rahul Kapoor</t>
        </is>
      </c>
      <c r="E109" s="8" t="inlineStr">
        <is>
          <t>APAC</t>
        </is>
      </c>
      <c r="F109" s="8" t="inlineStr">
        <is>
          <t>Finance</t>
        </is>
      </c>
      <c r="G109" s="8" t="inlineStr">
        <is>
          <t>Desktop</t>
        </is>
      </c>
      <c r="H109" s="8" t="inlineStr">
        <is>
          <t>OS outdated and pending critical patches</t>
        </is>
      </c>
      <c r="I109" s="8" t="inlineStr">
        <is>
          <t>Compliance</t>
        </is>
      </c>
      <c r="J109" s="8" t="inlineStr">
        <is>
          <t>Patch Compliance</t>
        </is>
      </c>
      <c r="K109" s="8" t="inlineStr">
        <is>
          <t>Intune</t>
        </is>
      </c>
      <c r="L109" s="8" t="inlineStr">
        <is>
          <t>High</t>
        </is>
      </c>
      <c r="M109" s="8" t="inlineStr">
        <is>
          <t>L1 Endpoint Support</t>
        </is>
      </c>
      <c r="N109" s="8" t="inlineStr">
        <is>
          <t>Yes</t>
        </is>
      </c>
      <c r="O109" s="8" t="inlineStr">
        <is>
          <t>Resolved</t>
        </is>
      </c>
      <c r="P109" s="10" t="n">
        <v>1</v>
      </c>
      <c r="Q109" s="10" t="n">
        <v>3.8</v>
      </c>
      <c r="R109" s="10" t="n">
        <v>4</v>
      </c>
      <c r="S109" s="8">
        <f>IF(OR(O109="Open",O109="In Progress"),"Pending",IF(Q109&lt;=R109,"Yes","No"))</f>
        <v/>
      </c>
      <c r="T109" s="8" t="inlineStr">
        <is>
          <t>Pending update ring</t>
        </is>
      </c>
      <c r="U109" s="8" t="inlineStr">
        <is>
          <t>Forced sync and scheduled patch installation</t>
        </is>
      </c>
      <c r="V109" s="8" t="inlineStr">
        <is>
          <t>No</t>
        </is>
      </c>
    </row>
    <row r="110">
      <c r="A110" s="8" t="inlineStr">
        <is>
          <t>INC100108</t>
        </is>
      </c>
      <c r="B110" s="9" t="n">
        <v>46097.90625</v>
      </c>
      <c r="C110" s="8" t="inlineStr">
        <is>
          <t>Chat</t>
        </is>
      </c>
      <c r="D110" s="8" t="inlineStr">
        <is>
          <t>Vikram Sharma</t>
        </is>
      </c>
      <c r="E110" s="8" t="inlineStr">
        <is>
          <t>US</t>
        </is>
      </c>
      <c r="F110" s="8" t="inlineStr">
        <is>
          <t>Procurement</t>
        </is>
      </c>
      <c r="G110" s="8" t="inlineStr">
        <is>
          <t>Laptop</t>
        </is>
      </c>
      <c r="H110" s="8" t="inlineStr">
        <is>
          <t>Account needs disablement after employee exit</t>
        </is>
      </c>
      <c r="I110" s="8" t="inlineStr">
        <is>
          <t>Access</t>
        </is>
      </c>
      <c r="J110" s="8" t="inlineStr">
        <is>
          <t>Offboarding</t>
        </is>
      </c>
      <c r="K110" s="8" t="inlineStr">
        <is>
          <t>Active Directory</t>
        </is>
      </c>
      <c r="L110" s="8" t="inlineStr">
        <is>
          <t>Medium</t>
        </is>
      </c>
      <c r="M110" s="8" t="inlineStr">
        <is>
          <t>L1 Service Desk</t>
        </is>
      </c>
      <c r="N110" s="8" t="inlineStr">
        <is>
          <t>Yes</t>
        </is>
      </c>
      <c r="O110" s="8" t="inlineStr">
        <is>
          <t>Closed</t>
        </is>
      </c>
      <c r="P110" s="10" t="n">
        <v>0.8</v>
      </c>
      <c r="Q110" s="10" t="n">
        <v>7.8</v>
      </c>
      <c r="R110" s="10" t="n">
        <v>8</v>
      </c>
      <c r="S110" s="8">
        <f>IF(OR(O110="Open",O110="In Progress"),"Pending",IF(Q110&lt;=R110,"Yes","No"))</f>
        <v/>
      </c>
      <c r="T110" s="8" t="inlineStr">
        <is>
          <t>Offboarding request received</t>
        </is>
      </c>
      <c r="U110" s="8" t="inlineStr">
        <is>
          <t>Disabled account and removed active sessions</t>
        </is>
      </c>
      <c r="V110" s="8" t="inlineStr">
        <is>
          <t>No</t>
        </is>
      </c>
    </row>
    <row r="111">
      <c r="A111" s="8" t="inlineStr">
        <is>
          <t>INC100109</t>
        </is>
      </c>
      <c r="B111" s="9" t="n">
        <v>46057.26041666666</v>
      </c>
      <c r="C111" s="8" t="inlineStr">
        <is>
          <t>Chat</t>
        </is>
      </c>
      <c r="D111" s="8" t="inlineStr">
        <is>
          <t>Isha Kapoor</t>
        </is>
      </c>
      <c r="E111" s="8" t="inlineStr">
        <is>
          <t>APAC</t>
        </is>
      </c>
      <c r="F111" s="8" t="inlineStr">
        <is>
          <t>IT</t>
        </is>
      </c>
      <c r="G111" s="8" t="inlineStr">
        <is>
          <t>Laptop</t>
        </is>
      </c>
      <c r="H111" s="8" t="inlineStr">
        <is>
          <t>Antivirus disabled warning on endpoint</t>
        </is>
      </c>
      <c r="I111" s="8" t="inlineStr">
        <is>
          <t>Compliance</t>
        </is>
      </c>
      <c r="J111" s="8" t="inlineStr">
        <is>
          <t>Security Alert</t>
        </is>
      </c>
      <c r="K111" s="8" t="inlineStr">
        <is>
          <t>Intune</t>
        </is>
      </c>
      <c r="L111" s="8" t="inlineStr">
        <is>
          <t>Medium</t>
        </is>
      </c>
      <c r="M111" s="8" t="inlineStr">
        <is>
          <t>L1 Endpoint Support</t>
        </is>
      </c>
      <c r="N111" s="8" t="inlineStr">
        <is>
          <t>No</t>
        </is>
      </c>
      <c r="O111" s="8" t="inlineStr">
        <is>
          <t>Closed</t>
        </is>
      </c>
      <c r="P111" s="10" t="n">
        <v>0.3</v>
      </c>
      <c r="Q111" s="10" t="n">
        <v>4.7</v>
      </c>
      <c r="R111" s="10" t="n">
        <v>8</v>
      </c>
      <c r="S111" s="8">
        <f>IF(OR(O111="Open",O111="In Progress"),"Pending",IF(Q111&lt;=R111,"Yes","No"))</f>
        <v/>
      </c>
      <c r="T111" s="8" t="inlineStr">
        <is>
          <t>Protection service stopped</t>
        </is>
      </c>
      <c r="U111" s="8" t="inlineStr">
        <is>
          <t>Restarted endpoint protection service and rechecked</t>
        </is>
      </c>
      <c r="V111" s="8" t="inlineStr">
        <is>
          <t>No</t>
        </is>
      </c>
    </row>
    <row r="112">
      <c r="A112" s="8" t="inlineStr">
        <is>
          <t>INC100110</t>
        </is>
      </c>
      <c r="B112" s="9" t="n">
        <v>46037.08333333334</v>
      </c>
      <c r="C112" s="8" t="inlineStr">
        <is>
          <t>Portal</t>
        </is>
      </c>
      <c r="D112" s="8" t="inlineStr">
        <is>
          <t>Ravi Jain</t>
        </is>
      </c>
      <c r="E112" s="8" t="inlineStr">
        <is>
          <t>UK</t>
        </is>
      </c>
      <c r="F112" s="8" t="inlineStr">
        <is>
          <t>Procurement</t>
        </is>
      </c>
      <c r="G112" s="8" t="inlineStr">
        <is>
          <t>Thin Client</t>
        </is>
      </c>
      <c r="H112" s="8" t="inlineStr">
        <is>
          <t>System performance slow after updates</t>
        </is>
      </c>
      <c r="I112" s="8" t="inlineStr">
        <is>
          <t>Hardware</t>
        </is>
      </c>
      <c r="J112" s="8" t="inlineStr">
        <is>
          <t>Performance</t>
        </is>
      </c>
      <c r="K112" s="8" t="inlineStr">
        <is>
          <t>Windows</t>
        </is>
      </c>
      <c r="L112" s="8" t="inlineStr">
        <is>
          <t>Low</t>
        </is>
      </c>
      <c r="M112" s="8" t="inlineStr">
        <is>
          <t>L1 Endpoint Support</t>
        </is>
      </c>
      <c r="N112" s="8" t="inlineStr">
        <is>
          <t>No</t>
        </is>
      </c>
      <c r="O112" s="8" t="inlineStr">
        <is>
          <t>In Progress</t>
        </is>
      </c>
      <c r="P112" s="10" t="n">
        <v>0.7</v>
      </c>
      <c r="Q112" s="10" t="n"/>
      <c r="R112" s="10" t="n">
        <v>16</v>
      </c>
      <c r="S112" s="8">
        <f>IF(OR(O112="Open",O112="In Progress"),"Pending",IF(Q112&lt;=R112,"Yes","No"))</f>
        <v/>
      </c>
      <c r="T112" s="8" t="inlineStr">
        <is>
          <t>High startup load</t>
        </is>
      </c>
      <c r="U112" s="8" t="inlineStr">
        <is>
          <t>Pending specialist review / awaiting user confirmation</t>
        </is>
      </c>
      <c r="V112" s="8" t="inlineStr">
        <is>
          <t>No</t>
        </is>
      </c>
    </row>
    <row r="113">
      <c r="A113" s="8" t="inlineStr">
        <is>
          <t>INC100111</t>
        </is>
      </c>
      <c r="B113" s="9" t="n">
        <v>46066.45833333334</v>
      </c>
      <c r="C113" s="8" t="inlineStr">
        <is>
          <t>Phone</t>
        </is>
      </c>
      <c r="D113" s="8" t="inlineStr">
        <is>
          <t>Divya Singh</t>
        </is>
      </c>
      <c r="E113" s="8" t="inlineStr">
        <is>
          <t>APAC</t>
        </is>
      </c>
      <c r="F113" s="8" t="inlineStr">
        <is>
          <t>Procurement</t>
        </is>
      </c>
      <c r="G113" s="8" t="inlineStr">
        <is>
          <t>Laptop</t>
        </is>
      </c>
      <c r="H113" s="8" t="inlineStr">
        <is>
          <t>Antivirus disabled warning on endpoint</t>
        </is>
      </c>
      <c r="I113" s="8" t="inlineStr">
        <is>
          <t>Compliance</t>
        </is>
      </c>
      <c r="J113" s="8" t="inlineStr">
        <is>
          <t>Security Alert</t>
        </is>
      </c>
      <c r="K113" s="8" t="inlineStr">
        <is>
          <t>Intune</t>
        </is>
      </c>
      <c r="L113" s="8" t="inlineStr">
        <is>
          <t>Medium</t>
        </is>
      </c>
      <c r="M113" s="8" t="inlineStr">
        <is>
          <t>L1 Endpoint Support</t>
        </is>
      </c>
      <c r="N113" s="8" t="inlineStr">
        <is>
          <t>No</t>
        </is>
      </c>
      <c r="O113" s="8" t="inlineStr">
        <is>
          <t>Closed</t>
        </is>
      </c>
      <c r="P113" s="10" t="n">
        <v>1</v>
      </c>
      <c r="Q113" s="10" t="n">
        <v>5.9</v>
      </c>
      <c r="R113" s="10" t="n">
        <v>8</v>
      </c>
      <c r="S113" s="8">
        <f>IF(OR(O113="Open",O113="In Progress"),"Pending",IF(Q113&lt;=R113,"Yes","No"))</f>
        <v/>
      </c>
      <c r="T113" s="8" t="inlineStr">
        <is>
          <t>Protection service stopped</t>
        </is>
      </c>
      <c r="U113" s="8" t="inlineStr">
        <is>
          <t>Restarted endpoint protection service and rechecked</t>
        </is>
      </c>
      <c r="V113" s="8" t="inlineStr">
        <is>
          <t>No</t>
        </is>
      </c>
    </row>
    <row r="114">
      <c r="A114" s="8" t="inlineStr">
        <is>
          <t>INC100112</t>
        </is>
      </c>
      <c r="B114" s="9" t="n">
        <v>46086.19791666666</v>
      </c>
      <c r="C114" s="8" t="inlineStr">
        <is>
          <t>Chat</t>
        </is>
      </c>
      <c r="D114" s="8" t="inlineStr">
        <is>
          <t>Priya Patel</t>
        </is>
      </c>
      <c r="E114" s="8" t="inlineStr">
        <is>
          <t>India</t>
        </is>
      </c>
      <c r="F114" s="8" t="inlineStr">
        <is>
          <t>Sales</t>
        </is>
      </c>
      <c r="G114" s="8" t="inlineStr">
        <is>
          <t>iPhone</t>
        </is>
      </c>
      <c r="H114" s="8" t="inlineStr">
        <is>
          <t>Teams login failure after password change</t>
        </is>
      </c>
      <c r="I114" s="8" t="inlineStr">
        <is>
          <t>Software</t>
        </is>
      </c>
      <c r="J114" s="8" t="inlineStr">
        <is>
          <t>Teams Login</t>
        </is>
      </c>
      <c r="K114" s="8" t="inlineStr">
        <is>
          <t>Microsoft Teams</t>
        </is>
      </c>
      <c r="L114" s="8" t="inlineStr">
        <is>
          <t>Low</t>
        </is>
      </c>
      <c r="M114" s="8" t="inlineStr">
        <is>
          <t>L1 Service Desk</t>
        </is>
      </c>
      <c r="N114" s="8" t="inlineStr">
        <is>
          <t>No</t>
        </is>
      </c>
      <c r="O114" s="8" t="inlineStr">
        <is>
          <t>Closed</t>
        </is>
      </c>
      <c r="P114" s="10" t="n">
        <v>3.8</v>
      </c>
      <c r="Q114" s="10" t="n">
        <v>18.5</v>
      </c>
      <c r="R114" s="10" t="n">
        <v>16</v>
      </c>
      <c r="S114" s="8">
        <f>IF(OR(O114="Open",O114="In Progress"),"Pending",IF(Q114&lt;=R114,"Yes","No"))</f>
        <v/>
      </c>
      <c r="T114" s="8" t="inlineStr">
        <is>
          <t>Cached credentials mismatch</t>
        </is>
      </c>
      <c r="U114" s="8" t="inlineStr">
        <is>
          <t>Cleared Teams cache and reauthenticated</t>
        </is>
      </c>
      <c r="V114" s="8" t="inlineStr">
        <is>
          <t>Yes</t>
        </is>
      </c>
    </row>
    <row r="115">
      <c r="A115" s="8" t="inlineStr">
        <is>
          <t>INC100113</t>
        </is>
      </c>
      <c r="B115" s="9" t="n">
        <v>46093.41666666666</v>
      </c>
      <c r="C115" s="8" t="inlineStr">
        <is>
          <t>Chat</t>
        </is>
      </c>
      <c r="D115" s="8" t="inlineStr">
        <is>
          <t>Tarun Patel</t>
        </is>
      </c>
      <c r="E115" s="8" t="inlineStr">
        <is>
          <t>UK</t>
        </is>
      </c>
      <c r="F115" s="8" t="inlineStr">
        <is>
          <t>Customer Support</t>
        </is>
      </c>
      <c r="G115" s="8" t="inlineStr">
        <is>
          <t>iPhone</t>
        </is>
      </c>
      <c r="H115" s="8" t="inlineStr">
        <is>
          <t>New user mailbox access not available</t>
        </is>
      </c>
      <c r="I115" s="8" t="inlineStr">
        <is>
          <t>Access</t>
        </is>
      </c>
      <c r="J115" s="8" t="inlineStr">
        <is>
          <t>Mailbox Provisioning</t>
        </is>
      </c>
      <c r="K115" s="8" t="inlineStr">
        <is>
          <t>Azure AD</t>
        </is>
      </c>
      <c r="L115" s="8" t="inlineStr">
        <is>
          <t>Medium</t>
        </is>
      </c>
      <c r="M115" s="8" t="inlineStr">
        <is>
          <t>L1 Service Desk</t>
        </is>
      </c>
      <c r="N115" s="8" t="inlineStr">
        <is>
          <t>No</t>
        </is>
      </c>
      <c r="O115" s="8" t="inlineStr">
        <is>
          <t>In Progress</t>
        </is>
      </c>
      <c r="P115" s="10" t="n">
        <v>1</v>
      </c>
      <c r="Q115" s="10" t="n"/>
      <c r="R115" s="10" t="n">
        <v>8</v>
      </c>
      <c r="S115" s="8">
        <f>IF(OR(O115="Open",O115="In Progress"),"Pending",IF(Q115&lt;=R115,"Yes","No"))</f>
        <v/>
      </c>
      <c r="T115" s="8" t="inlineStr">
        <is>
          <t>License sync delay</t>
        </is>
      </c>
      <c r="U115" s="8" t="inlineStr">
        <is>
          <t>Pending specialist review / awaiting user confirmation</t>
        </is>
      </c>
      <c r="V115" s="8" t="inlineStr">
        <is>
          <t>No</t>
        </is>
      </c>
    </row>
    <row r="116">
      <c r="A116" s="8" t="inlineStr">
        <is>
          <t>INC100114</t>
        </is>
      </c>
      <c r="B116" s="9" t="n">
        <v>46091.09375</v>
      </c>
      <c r="C116" s="8" t="inlineStr">
        <is>
          <t>Chat</t>
        </is>
      </c>
      <c r="D116" s="8" t="inlineStr">
        <is>
          <t>Isha Das</t>
        </is>
      </c>
      <c r="E116" s="8" t="inlineStr">
        <is>
          <t>APAC</t>
        </is>
      </c>
      <c r="F116" s="8" t="inlineStr">
        <is>
          <t>HR</t>
        </is>
      </c>
      <c r="G116" s="8" t="inlineStr">
        <is>
          <t>iPhone</t>
        </is>
      </c>
      <c r="H116" s="8" t="inlineStr">
        <is>
          <t>Outlook not opening on startup</t>
        </is>
      </c>
      <c r="I116" s="8" t="inlineStr">
        <is>
          <t>Software</t>
        </is>
      </c>
      <c r="J116" s="8" t="inlineStr">
        <is>
          <t>Outlook Issue</t>
        </is>
      </c>
      <c r="K116" s="8" t="inlineStr">
        <is>
          <t>Microsoft Office</t>
        </is>
      </c>
      <c r="L116" s="8" t="inlineStr">
        <is>
          <t>Medium</t>
        </is>
      </c>
      <c r="M116" s="8" t="inlineStr">
        <is>
          <t>L1 Service Desk</t>
        </is>
      </c>
      <c r="N116" s="8" t="inlineStr">
        <is>
          <t>Yes</t>
        </is>
      </c>
      <c r="O116" s="8" t="inlineStr">
        <is>
          <t>Closed</t>
        </is>
      </c>
      <c r="P116" s="10" t="n">
        <v>0.6</v>
      </c>
      <c r="Q116" s="10" t="n">
        <v>7.2</v>
      </c>
      <c r="R116" s="10" t="n">
        <v>8</v>
      </c>
      <c r="S116" s="8">
        <f>IF(OR(O116="Open",O116="In Progress"),"Pending",IF(Q116&lt;=R116,"Yes","No"))</f>
        <v/>
      </c>
      <c r="T116" s="8" t="inlineStr">
        <is>
          <t>Corrupt Office add-in</t>
        </is>
      </c>
      <c r="U116" s="8" t="inlineStr">
        <is>
          <t>Started in safe mode and repaired Office</t>
        </is>
      </c>
      <c r="V116" s="8" t="inlineStr">
        <is>
          <t>No</t>
        </is>
      </c>
    </row>
    <row r="117">
      <c r="A117" s="8" t="inlineStr">
        <is>
          <t>INC100115</t>
        </is>
      </c>
      <c r="B117" s="9" t="n">
        <v>46039.875</v>
      </c>
      <c r="C117" s="8" t="inlineStr">
        <is>
          <t>Chat</t>
        </is>
      </c>
      <c r="D117" s="8" t="inlineStr">
        <is>
          <t>Sanjay Patel</t>
        </is>
      </c>
      <c r="E117" s="8" t="inlineStr">
        <is>
          <t>APAC</t>
        </is>
      </c>
      <c r="F117" s="8" t="inlineStr">
        <is>
          <t>HR</t>
        </is>
      </c>
      <c r="G117" s="8" t="inlineStr">
        <is>
          <t>iPhone</t>
        </is>
      </c>
      <c r="H117" s="8" t="inlineStr">
        <is>
          <t>OTP not received for sign-in verification</t>
        </is>
      </c>
      <c r="I117" s="8" t="inlineStr">
        <is>
          <t>Access</t>
        </is>
      </c>
      <c r="J117" s="8" t="inlineStr">
        <is>
          <t>OTP Failure</t>
        </is>
      </c>
      <c r="K117" s="8" t="inlineStr">
        <is>
          <t>Okta</t>
        </is>
      </c>
      <c r="L117" s="8" t="inlineStr">
        <is>
          <t>High</t>
        </is>
      </c>
      <c r="M117" s="8" t="inlineStr">
        <is>
          <t>L1 IAM Support</t>
        </is>
      </c>
      <c r="N117" s="8" t="inlineStr">
        <is>
          <t>No</t>
        </is>
      </c>
      <c r="O117" s="8" t="inlineStr">
        <is>
          <t>Closed</t>
        </is>
      </c>
      <c r="P117" s="10" t="n">
        <v>0.9</v>
      </c>
      <c r="Q117" s="10" t="n">
        <v>2.3</v>
      </c>
      <c r="R117" s="10" t="n">
        <v>4</v>
      </c>
      <c r="S117" s="8">
        <f>IF(OR(O117="Open",O117="In Progress"),"Pending",IF(Q117&lt;=R117,"Yes","No"))</f>
        <v/>
      </c>
      <c r="T117" s="8" t="inlineStr">
        <is>
          <t>Outdated phone number</t>
        </is>
      </c>
      <c r="U117" s="8" t="inlineStr">
        <is>
          <t>Updated factor settings and retried verification</t>
        </is>
      </c>
      <c r="V117" s="8" t="inlineStr">
        <is>
          <t>Yes</t>
        </is>
      </c>
    </row>
    <row r="118">
      <c r="A118" s="8" t="inlineStr">
        <is>
          <t>INC100116</t>
        </is>
      </c>
      <c r="B118" s="9" t="n">
        <v>46071.71875</v>
      </c>
      <c r="C118" s="8" t="inlineStr">
        <is>
          <t>Portal</t>
        </is>
      </c>
      <c r="D118" s="8" t="inlineStr">
        <is>
          <t>Sneha Kumar</t>
        </is>
      </c>
      <c r="E118" s="8" t="inlineStr">
        <is>
          <t>US</t>
        </is>
      </c>
      <c r="F118" s="8" t="inlineStr">
        <is>
          <t>Sales</t>
        </is>
      </c>
      <c r="G118" s="8" t="inlineStr">
        <is>
          <t>Laptop</t>
        </is>
      </c>
      <c r="H118" s="8" t="inlineStr">
        <is>
          <t>MFA push not received on mobile device</t>
        </is>
      </c>
      <c r="I118" s="8" t="inlineStr">
        <is>
          <t>Access</t>
        </is>
      </c>
      <c r="J118" s="8" t="inlineStr">
        <is>
          <t>MFA Failure</t>
        </is>
      </c>
      <c r="K118" s="8" t="inlineStr">
        <is>
          <t>Okta</t>
        </is>
      </c>
      <c r="L118" s="8" t="inlineStr">
        <is>
          <t>Medium</t>
        </is>
      </c>
      <c r="M118" s="8" t="inlineStr">
        <is>
          <t>L1 IAM Support</t>
        </is>
      </c>
      <c r="N118" s="8" t="inlineStr">
        <is>
          <t>No</t>
        </is>
      </c>
      <c r="O118" s="8" t="inlineStr">
        <is>
          <t>Closed</t>
        </is>
      </c>
      <c r="P118" s="10" t="n">
        <v>1.4</v>
      </c>
      <c r="Q118" s="10" t="n">
        <v>3.2</v>
      </c>
      <c r="R118" s="10" t="n">
        <v>8</v>
      </c>
      <c r="S118" s="8">
        <f>IF(OR(O118="Open",O118="In Progress"),"Pending",IF(Q118&lt;=R118,"Yes","No"))</f>
        <v/>
      </c>
      <c r="T118" s="8" t="inlineStr">
        <is>
          <t>Device not enrolled correctly</t>
        </is>
      </c>
      <c r="U118" s="8" t="inlineStr">
        <is>
          <t>Re-enrolled MFA in Okta and tested push</t>
        </is>
      </c>
      <c r="V118" s="8" t="inlineStr">
        <is>
          <t>Yes</t>
        </is>
      </c>
    </row>
    <row r="119">
      <c r="A119" s="8" t="inlineStr">
        <is>
          <t>INC100117</t>
        </is>
      </c>
      <c r="B119" s="9" t="n">
        <v>46033.9375</v>
      </c>
      <c r="C119" s="8" t="inlineStr">
        <is>
          <t>Portal</t>
        </is>
      </c>
      <c r="D119" s="8" t="inlineStr">
        <is>
          <t>Karthik Kapoor</t>
        </is>
      </c>
      <c r="E119" s="8" t="inlineStr">
        <is>
          <t>APAC</t>
        </is>
      </c>
      <c r="F119" s="8" t="inlineStr">
        <is>
          <t>Customer Support</t>
        </is>
      </c>
      <c r="G119" s="8" t="inlineStr">
        <is>
          <t>Thin Client</t>
        </is>
      </c>
      <c r="H119" s="8" t="inlineStr">
        <is>
          <t>Unable to join Teams meeting from desktop app</t>
        </is>
      </c>
      <c r="I119" s="8" t="inlineStr">
        <is>
          <t>Software</t>
        </is>
      </c>
      <c r="J119" s="8" t="inlineStr">
        <is>
          <t>Teams Meeting</t>
        </is>
      </c>
      <c r="K119" s="8" t="inlineStr">
        <is>
          <t>Microsoft Teams</t>
        </is>
      </c>
      <c r="L119" s="8" t="inlineStr">
        <is>
          <t>Medium</t>
        </is>
      </c>
      <c r="M119" s="8" t="inlineStr">
        <is>
          <t>L1 Service Desk</t>
        </is>
      </c>
      <c r="N119" s="8" t="inlineStr">
        <is>
          <t>No</t>
        </is>
      </c>
      <c r="O119" s="8" t="inlineStr">
        <is>
          <t>Resolved</t>
        </is>
      </c>
      <c r="P119" s="10" t="n">
        <v>0.4</v>
      </c>
      <c r="Q119" s="10" t="n">
        <v>10.6</v>
      </c>
      <c r="R119" s="10" t="n">
        <v>8</v>
      </c>
      <c r="S119" s="8">
        <f>IF(OR(O119="Open",O119="In Progress"),"Pending",IF(Q119&lt;=R119,"Yes","No"))</f>
        <v/>
      </c>
      <c r="T119" s="8" t="inlineStr">
        <is>
          <t>Client cache / audio stack issue</t>
        </is>
      </c>
      <c r="U119" s="8" t="inlineStr">
        <is>
          <t>Reset Teams app and checked device permissions</t>
        </is>
      </c>
      <c r="V119" s="8" t="inlineStr">
        <is>
          <t>Yes</t>
        </is>
      </c>
    </row>
    <row r="120">
      <c r="A120" s="8" t="inlineStr">
        <is>
          <t>INC100118</t>
        </is>
      </c>
      <c r="B120" s="9" t="n">
        <v>46082.92708333334</v>
      </c>
      <c r="C120" s="8" t="inlineStr">
        <is>
          <t>Email</t>
        </is>
      </c>
      <c r="D120" s="8" t="inlineStr">
        <is>
          <t>Kiran Gupta</t>
        </is>
      </c>
      <c r="E120" s="8" t="inlineStr">
        <is>
          <t>India</t>
        </is>
      </c>
      <c r="F120" s="8" t="inlineStr">
        <is>
          <t>HR</t>
        </is>
      </c>
      <c r="G120" s="8" t="inlineStr">
        <is>
          <t>iPhone</t>
        </is>
      </c>
      <c r="H120" s="8" t="inlineStr">
        <is>
          <t>Teams login failure after password change</t>
        </is>
      </c>
      <c r="I120" s="8" t="inlineStr">
        <is>
          <t>Software</t>
        </is>
      </c>
      <c r="J120" s="8" t="inlineStr">
        <is>
          <t>Teams Login</t>
        </is>
      </c>
      <c r="K120" s="8" t="inlineStr">
        <is>
          <t>Microsoft Teams</t>
        </is>
      </c>
      <c r="L120" s="8" t="inlineStr">
        <is>
          <t>Low</t>
        </is>
      </c>
      <c r="M120" s="8" t="inlineStr">
        <is>
          <t>L1 Service Desk</t>
        </is>
      </c>
      <c r="N120" s="8" t="inlineStr">
        <is>
          <t>No</t>
        </is>
      </c>
      <c r="O120" s="8" t="inlineStr">
        <is>
          <t>Resolved</t>
        </is>
      </c>
      <c r="P120" s="10" t="n">
        <v>0.7</v>
      </c>
      <c r="Q120" s="10" t="n">
        <v>13.5</v>
      </c>
      <c r="R120" s="10" t="n">
        <v>16</v>
      </c>
      <c r="S120" s="8">
        <f>IF(OR(O120="Open",O120="In Progress"),"Pending",IF(Q120&lt;=R120,"Yes","No"))</f>
        <v/>
      </c>
      <c r="T120" s="8" t="inlineStr">
        <is>
          <t>Cached credentials mismatch</t>
        </is>
      </c>
      <c r="U120" s="8" t="inlineStr">
        <is>
          <t>Cleared Teams cache and reauthenticated</t>
        </is>
      </c>
      <c r="V120" s="8" t="inlineStr">
        <is>
          <t>Yes</t>
        </is>
      </c>
    </row>
    <row r="121">
      <c r="A121" s="8" t="inlineStr">
        <is>
          <t>INC100119</t>
        </is>
      </c>
      <c r="B121" s="9" t="n">
        <v>46045.10416666666</v>
      </c>
      <c r="C121" s="8" t="inlineStr">
        <is>
          <t>Email</t>
        </is>
      </c>
      <c r="D121" s="8" t="inlineStr">
        <is>
          <t>Kiran Jain</t>
        </is>
      </c>
      <c r="E121" s="8" t="inlineStr">
        <is>
          <t>UK</t>
        </is>
      </c>
      <c r="F121" s="8" t="inlineStr">
        <is>
          <t>HR</t>
        </is>
      </c>
      <c r="G121" s="8" t="inlineStr">
        <is>
          <t>iPhone</t>
        </is>
      </c>
      <c r="H121" s="8" t="inlineStr">
        <is>
          <t>VPN not connecting from remote location</t>
        </is>
      </c>
      <c r="I121" s="8" t="inlineStr">
        <is>
          <t>Access</t>
        </is>
      </c>
      <c r="J121" s="8" t="inlineStr">
        <is>
          <t>VPN Access</t>
        </is>
      </c>
      <c r="K121" s="8" t="inlineStr">
        <is>
          <t>VPN</t>
        </is>
      </c>
      <c r="L121" s="8" t="inlineStr">
        <is>
          <t>Medium</t>
        </is>
      </c>
      <c r="M121" s="8" t="inlineStr">
        <is>
          <t>L1 Service Desk</t>
        </is>
      </c>
      <c r="N121" s="8" t="inlineStr">
        <is>
          <t>No</t>
        </is>
      </c>
      <c r="O121" s="8" t="inlineStr">
        <is>
          <t>Resolved</t>
        </is>
      </c>
      <c r="P121" s="10" t="n">
        <v>0.5</v>
      </c>
      <c r="Q121" s="10" t="n">
        <v>4.8</v>
      </c>
      <c r="R121" s="10" t="n">
        <v>8</v>
      </c>
      <c r="S121" s="8">
        <f>IF(OR(O121="Open",O121="In Progress"),"Pending",IF(Q121&lt;=R121,"Yes","No"))</f>
        <v/>
      </c>
      <c r="T121" s="8" t="inlineStr">
        <is>
          <t>VPN client profile corruption</t>
        </is>
      </c>
      <c r="U121" s="8" t="inlineStr">
        <is>
          <t>Reconfigured VPN profile and validated connection</t>
        </is>
      </c>
      <c r="V121" s="8" t="inlineStr">
        <is>
          <t>Yes</t>
        </is>
      </c>
    </row>
    <row r="122">
      <c r="A122" s="8" t="inlineStr">
        <is>
          <t>INC100120</t>
        </is>
      </c>
      <c r="B122" s="9" t="n">
        <v>46032.22916666666</v>
      </c>
      <c r="C122" s="8" t="inlineStr">
        <is>
          <t>Portal</t>
        </is>
      </c>
      <c r="D122" s="8" t="inlineStr">
        <is>
          <t>Arjun Verma</t>
        </is>
      </c>
      <c r="E122" s="8" t="inlineStr">
        <is>
          <t>APAC</t>
        </is>
      </c>
      <c r="F122" s="8" t="inlineStr">
        <is>
          <t>Finance</t>
        </is>
      </c>
      <c r="G122" s="8" t="inlineStr">
        <is>
          <t>iPhone</t>
        </is>
      </c>
      <c r="H122" s="8" t="inlineStr">
        <is>
          <t>Password reset required after expiry</t>
        </is>
      </c>
      <c r="I122" s="8" t="inlineStr">
        <is>
          <t>Login</t>
        </is>
      </c>
      <c r="J122" s="8" t="inlineStr">
        <is>
          <t>Password Reset</t>
        </is>
      </c>
      <c r="K122" s="8" t="inlineStr">
        <is>
          <t>Active Directory</t>
        </is>
      </c>
      <c r="L122" s="8" t="inlineStr">
        <is>
          <t>High</t>
        </is>
      </c>
      <c r="M122" s="8" t="inlineStr">
        <is>
          <t>L1 Service Desk</t>
        </is>
      </c>
      <c r="N122" s="8" t="inlineStr">
        <is>
          <t>No</t>
        </is>
      </c>
      <c r="O122" s="8" t="inlineStr">
        <is>
          <t>In Progress</t>
        </is>
      </c>
      <c r="P122" s="10" t="n">
        <v>2.3</v>
      </c>
      <c r="Q122" s="10" t="n"/>
      <c r="R122" s="10" t="n">
        <v>4</v>
      </c>
      <c r="S122" s="8">
        <f>IF(OR(O122="Open",O122="In Progress"),"Pending",IF(Q122&lt;=R122,"Yes","No"))</f>
        <v/>
      </c>
      <c r="T122" s="8" t="inlineStr">
        <is>
          <t>Password policy expiry</t>
        </is>
      </c>
      <c r="U122" s="8" t="inlineStr">
        <is>
          <t>Pending specialist review / awaiting user confirmation</t>
        </is>
      </c>
      <c r="V122" s="8" t="inlineStr">
        <is>
          <t>No</t>
        </is>
      </c>
    </row>
    <row r="123">
      <c r="A123" s="8" t="inlineStr">
        <is>
          <t>INC100121</t>
        </is>
      </c>
      <c r="B123" s="9" t="n">
        <v>46049.23958333334</v>
      </c>
      <c r="C123" s="8" t="inlineStr">
        <is>
          <t>Email</t>
        </is>
      </c>
      <c r="D123" s="8" t="inlineStr">
        <is>
          <t>Ananya Nair</t>
        </is>
      </c>
      <c r="E123" s="8" t="inlineStr">
        <is>
          <t>India</t>
        </is>
      </c>
      <c r="F123" s="8" t="inlineStr">
        <is>
          <t>Finance</t>
        </is>
      </c>
      <c r="G123" s="8" t="inlineStr">
        <is>
          <t>iPad</t>
        </is>
      </c>
      <c r="H123" s="8" t="inlineStr">
        <is>
          <t>System performance slow after updates</t>
        </is>
      </c>
      <c r="I123" s="8" t="inlineStr">
        <is>
          <t>Hardware</t>
        </is>
      </c>
      <c r="J123" s="8" t="inlineStr">
        <is>
          <t>Performance</t>
        </is>
      </c>
      <c r="K123" s="8" t="inlineStr">
        <is>
          <t>Windows</t>
        </is>
      </c>
      <c r="L123" s="8" t="inlineStr">
        <is>
          <t>Low</t>
        </is>
      </c>
      <c r="M123" s="8" t="inlineStr">
        <is>
          <t>L1 Endpoint Support</t>
        </is>
      </c>
      <c r="N123" s="8" t="inlineStr">
        <is>
          <t>No</t>
        </is>
      </c>
      <c r="O123" s="8" t="inlineStr">
        <is>
          <t>Closed</t>
        </is>
      </c>
      <c r="P123" s="10" t="n">
        <v>2</v>
      </c>
      <c r="Q123" s="10" t="n">
        <v>3.6</v>
      </c>
      <c r="R123" s="10" t="n">
        <v>16</v>
      </c>
      <c r="S123" s="8">
        <f>IF(OR(O123="Open",O123="In Progress"),"Pending",IF(Q123&lt;=R123,"Yes","No"))</f>
        <v/>
      </c>
      <c r="T123" s="8" t="inlineStr">
        <is>
          <t>High startup load</t>
        </is>
      </c>
      <c r="U123" s="8" t="inlineStr">
        <is>
          <t>Optimized startup items and ran health checks</t>
        </is>
      </c>
      <c r="V123" s="8" t="inlineStr">
        <is>
          <t>Yes</t>
        </is>
      </c>
    </row>
    <row r="124">
      <c r="A124" s="8" t="inlineStr">
        <is>
          <t>INC100122</t>
        </is>
      </c>
      <c r="B124" s="9" t="n">
        <v>46039.47916666666</v>
      </c>
      <c r="C124" s="8" t="inlineStr">
        <is>
          <t>Email</t>
        </is>
      </c>
      <c r="D124" s="8" t="inlineStr">
        <is>
          <t>Manoj Das</t>
        </is>
      </c>
      <c r="E124" s="8" t="inlineStr">
        <is>
          <t>India</t>
        </is>
      </c>
      <c r="F124" s="8" t="inlineStr">
        <is>
          <t>IT</t>
        </is>
      </c>
      <c r="G124" s="8" t="inlineStr">
        <is>
          <t>Desktop</t>
        </is>
      </c>
      <c r="H124" s="8" t="inlineStr">
        <is>
          <t>New user mailbox access not available</t>
        </is>
      </c>
      <c r="I124" s="8" t="inlineStr">
        <is>
          <t>Access</t>
        </is>
      </c>
      <c r="J124" s="8" t="inlineStr">
        <is>
          <t>Mailbox Provisioning</t>
        </is>
      </c>
      <c r="K124" s="8" t="inlineStr">
        <is>
          <t>Azure AD</t>
        </is>
      </c>
      <c r="L124" s="8" t="inlineStr">
        <is>
          <t>Medium</t>
        </is>
      </c>
      <c r="M124" s="8" t="inlineStr">
        <is>
          <t>L1 Service Desk</t>
        </is>
      </c>
      <c r="N124" s="8" t="inlineStr">
        <is>
          <t>No</t>
        </is>
      </c>
      <c r="O124" s="8" t="inlineStr">
        <is>
          <t>Resolved</t>
        </is>
      </c>
      <c r="P124" s="10" t="n">
        <v>0.7</v>
      </c>
      <c r="Q124" s="10" t="n">
        <v>9.800000000000001</v>
      </c>
      <c r="R124" s="10" t="n">
        <v>8</v>
      </c>
      <c r="S124" s="8">
        <f>IF(OR(O124="Open",O124="In Progress"),"Pending",IF(Q124&lt;=R124,"Yes","No"))</f>
        <v/>
      </c>
      <c r="T124" s="8" t="inlineStr">
        <is>
          <t>License sync delay</t>
        </is>
      </c>
      <c r="U124" s="8" t="inlineStr">
        <is>
          <t>Verified license assignment and sync completion</t>
        </is>
      </c>
      <c r="V124" s="8" t="inlineStr">
        <is>
          <t>No</t>
        </is>
      </c>
    </row>
    <row r="125">
      <c r="A125" s="8" t="inlineStr">
        <is>
          <t>INC100123</t>
        </is>
      </c>
      <c r="B125" s="9" t="n">
        <v>46064.01041666666</v>
      </c>
      <c r="C125" s="8" t="inlineStr">
        <is>
          <t>Email</t>
        </is>
      </c>
      <c r="D125" s="8" t="inlineStr">
        <is>
          <t>Neha Rao</t>
        </is>
      </c>
      <c r="E125" s="8" t="inlineStr">
        <is>
          <t>UK</t>
        </is>
      </c>
      <c r="F125" s="8" t="inlineStr">
        <is>
          <t>IT</t>
        </is>
      </c>
      <c r="G125" s="8" t="inlineStr">
        <is>
          <t>Desktop</t>
        </is>
      </c>
      <c r="H125" s="8" t="inlineStr">
        <is>
          <t>SharePoint file sync failing on laptop</t>
        </is>
      </c>
      <c r="I125" s="8" t="inlineStr">
        <is>
          <t>Software</t>
        </is>
      </c>
      <c r="J125" s="8" t="inlineStr">
        <is>
          <t>Sync Issue</t>
        </is>
      </c>
      <c r="K125" s="8" t="inlineStr">
        <is>
          <t>SharePoint</t>
        </is>
      </c>
      <c r="L125" s="8" t="inlineStr">
        <is>
          <t>Low</t>
        </is>
      </c>
      <c r="M125" s="8" t="inlineStr">
        <is>
          <t>L1 Collaboration Support</t>
        </is>
      </c>
      <c r="N125" s="8" t="inlineStr">
        <is>
          <t>No</t>
        </is>
      </c>
      <c r="O125" s="8" t="inlineStr">
        <is>
          <t>Closed</t>
        </is>
      </c>
      <c r="P125" s="10" t="n">
        <v>4</v>
      </c>
      <c r="Q125" s="10" t="n">
        <v>7.1</v>
      </c>
      <c r="R125" s="10" t="n">
        <v>16</v>
      </c>
      <c r="S125" s="8">
        <f>IF(OR(O125="Open",O125="In Progress"),"Pending",IF(Q125&lt;=R125,"Yes","No"))</f>
        <v/>
      </c>
      <c r="T125" s="8" t="inlineStr">
        <is>
          <t>OneDrive sync conflict</t>
        </is>
      </c>
      <c r="U125" s="8" t="inlineStr">
        <is>
          <t>Reset sync client and re-linked library</t>
        </is>
      </c>
      <c r="V125" s="8" t="inlineStr">
        <is>
          <t>Yes</t>
        </is>
      </c>
    </row>
    <row r="126">
      <c r="A126" s="8" t="inlineStr">
        <is>
          <t>INC100124</t>
        </is>
      </c>
      <c r="B126" s="9" t="n">
        <v>46071.48958333334</v>
      </c>
      <c r="C126" s="8" t="inlineStr">
        <is>
          <t>Phone</t>
        </is>
      </c>
      <c r="D126" s="8" t="inlineStr">
        <is>
          <t>Meera Kumar</t>
        </is>
      </c>
      <c r="E126" s="8" t="inlineStr">
        <is>
          <t>UK</t>
        </is>
      </c>
      <c r="F126" s="8" t="inlineStr">
        <is>
          <t>Finance</t>
        </is>
      </c>
      <c r="G126" s="8" t="inlineStr">
        <is>
          <t>Desktop</t>
        </is>
      </c>
      <c r="H126" s="8" t="inlineStr">
        <is>
          <t>VPN not connecting from remote location</t>
        </is>
      </c>
      <c r="I126" s="8" t="inlineStr">
        <is>
          <t>Access</t>
        </is>
      </c>
      <c r="J126" s="8" t="inlineStr">
        <is>
          <t>VPN Access</t>
        </is>
      </c>
      <c r="K126" s="8" t="inlineStr">
        <is>
          <t>VPN</t>
        </is>
      </c>
      <c r="L126" s="8" t="inlineStr">
        <is>
          <t>Medium</t>
        </is>
      </c>
      <c r="M126" s="8" t="inlineStr">
        <is>
          <t>L1 Service Desk</t>
        </is>
      </c>
      <c r="N126" s="8" t="inlineStr">
        <is>
          <t>No</t>
        </is>
      </c>
      <c r="O126" s="8" t="inlineStr">
        <is>
          <t>Closed</t>
        </is>
      </c>
      <c r="P126" s="10" t="n">
        <v>1.5</v>
      </c>
      <c r="Q126" s="10" t="n">
        <v>6.2</v>
      </c>
      <c r="R126" s="10" t="n">
        <v>8</v>
      </c>
      <c r="S126" s="8">
        <f>IF(OR(O126="Open",O126="In Progress"),"Pending",IF(Q126&lt;=R126,"Yes","No"))</f>
        <v/>
      </c>
      <c r="T126" s="8" t="inlineStr">
        <is>
          <t>VPN client profile corruption</t>
        </is>
      </c>
      <c r="U126" s="8" t="inlineStr">
        <is>
          <t>Reconfigured VPN profile and validated connection</t>
        </is>
      </c>
      <c r="V126" s="8" t="inlineStr">
        <is>
          <t>Yes</t>
        </is>
      </c>
    </row>
    <row r="127">
      <c r="A127" s="8" t="inlineStr">
        <is>
          <t>INC100125</t>
        </is>
      </c>
      <c r="B127" s="9" t="n">
        <v>46039.77083333334</v>
      </c>
      <c r="C127" s="8" t="inlineStr">
        <is>
          <t>Phone</t>
        </is>
      </c>
      <c r="D127" s="8" t="inlineStr">
        <is>
          <t>Divya Verma</t>
        </is>
      </c>
      <c r="E127" s="8" t="inlineStr">
        <is>
          <t>APAC</t>
        </is>
      </c>
      <c r="F127" s="8" t="inlineStr">
        <is>
          <t>IT</t>
        </is>
      </c>
      <c r="G127" s="8" t="inlineStr">
        <is>
          <t>iPad</t>
        </is>
      </c>
      <c r="H127" s="8" t="inlineStr">
        <is>
          <t>Outlook not opening on startup</t>
        </is>
      </c>
      <c r="I127" s="8" t="inlineStr">
        <is>
          <t>Software</t>
        </is>
      </c>
      <c r="J127" s="8" t="inlineStr">
        <is>
          <t>Outlook Issue</t>
        </is>
      </c>
      <c r="K127" s="8" t="inlineStr">
        <is>
          <t>Microsoft Office</t>
        </is>
      </c>
      <c r="L127" s="8" t="inlineStr">
        <is>
          <t>Medium</t>
        </is>
      </c>
      <c r="M127" s="8" t="inlineStr">
        <is>
          <t>L1 Service Desk</t>
        </is>
      </c>
      <c r="N127" s="8" t="inlineStr">
        <is>
          <t>No</t>
        </is>
      </c>
      <c r="O127" s="8" t="inlineStr">
        <is>
          <t>Resolved</t>
        </is>
      </c>
      <c r="P127" s="10" t="n">
        <v>1.5</v>
      </c>
      <c r="Q127" s="10" t="n">
        <v>2</v>
      </c>
      <c r="R127" s="10" t="n">
        <v>8</v>
      </c>
      <c r="S127" s="8">
        <f>IF(OR(O127="Open",O127="In Progress"),"Pending",IF(Q127&lt;=R127,"Yes","No"))</f>
        <v/>
      </c>
      <c r="T127" s="8" t="inlineStr">
        <is>
          <t>Corrupt Office add-in</t>
        </is>
      </c>
      <c r="U127" s="8" t="inlineStr">
        <is>
          <t>Started in safe mode and repaired Office</t>
        </is>
      </c>
      <c r="V127" s="8" t="inlineStr">
        <is>
          <t>No</t>
        </is>
      </c>
    </row>
    <row r="128">
      <c r="A128" s="8" t="inlineStr">
        <is>
          <t>INC100126</t>
        </is>
      </c>
      <c r="B128" s="9" t="n">
        <v>46093.5625</v>
      </c>
      <c r="C128" s="8" t="inlineStr">
        <is>
          <t>Phone</t>
        </is>
      </c>
      <c r="D128" s="8" t="inlineStr">
        <is>
          <t>Nikita Jain</t>
        </is>
      </c>
      <c r="E128" s="8" t="inlineStr">
        <is>
          <t>India</t>
        </is>
      </c>
      <c r="F128" s="8" t="inlineStr">
        <is>
          <t>Operations</t>
        </is>
      </c>
      <c r="G128" s="8" t="inlineStr">
        <is>
          <t>Desktop</t>
        </is>
      </c>
      <c r="H128" s="8" t="inlineStr">
        <is>
          <t>Account needs disablement after employee exit</t>
        </is>
      </c>
      <c r="I128" s="8" t="inlineStr">
        <is>
          <t>Access</t>
        </is>
      </c>
      <c r="J128" s="8" t="inlineStr">
        <is>
          <t>Offboarding</t>
        </is>
      </c>
      <c r="K128" s="8" t="inlineStr">
        <is>
          <t>Active Directory</t>
        </is>
      </c>
      <c r="L128" s="8" t="inlineStr">
        <is>
          <t>Medium</t>
        </is>
      </c>
      <c r="M128" s="8" t="inlineStr">
        <is>
          <t>L1 Service Desk</t>
        </is>
      </c>
      <c r="N128" s="8" t="inlineStr">
        <is>
          <t>No</t>
        </is>
      </c>
      <c r="O128" s="8" t="inlineStr">
        <is>
          <t>Closed</t>
        </is>
      </c>
      <c r="P128" s="10" t="n">
        <v>2</v>
      </c>
      <c r="Q128" s="10" t="n">
        <v>3</v>
      </c>
      <c r="R128" s="10" t="n">
        <v>8</v>
      </c>
      <c r="S128" s="8">
        <f>IF(OR(O128="Open",O128="In Progress"),"Pending",IF(Q128&lt;=R128,"Yes","No"))</f>
        <v/>
      </c>
      <c r="T128" s="8" t="inlineStr">
        <is>
          <t>Offboarding request received</t>
        </is>
      </c>
      <c r="U128" s="8" t="inlineStr">
        <is>
          <t>Disabled account and removed active sessions</t>
        </is>
      </c>
      <c r="V128" s="8" t="inlineStr">
        <is>
          <t>Yes</t>
        </is>
      </c>
    </row>
    <row r="129">
      <c r="A129" s="8" t="inlineStr">
        <is>
          <t>INC100127</t>
        </is>
      </c>
      <c r="B129" s="9" t="n">
        <v>46062.58333333334</v>
      </c>
      <c r="C129" s="8" t="inlineStr">
        <is>
          <t>Portal</t>
        </is>
      </c>
      <c r="D129" s="8" t="inlineStr">
        <is>
          <t>Priya Sharma</t>
        </is>
      </c>
      <c r="E129" s="8" t="inlineStr">
        <is>
          <t>US</t>
        </is>
      </c>
      <c r="F129" s="8" t="inlineStr">
        <is>
          <t>IT</t>
        </is>
      </c>
      <c r="G129" s="8" t="inlineStr">
        <is>
          <t>Thin Client</t>
        </is>
      </c>
      <c r="H129" s="8" t="inlineStr">
        <is>
          <t>Unable to join Teams meeting from desktop app</t>
        </is>
      </c>
      <c r="I129" s="8" t="inlineStr">
        <is>
          <t>Software</t>
        </is>
      </c>
      <c r="J129" s="8" t="inlineStr">
        <is>
          <t>Teams Meeting</t>
        </is>
      </c>
      <c r="K129" s="8" t="inlineStr">
        <is>
          <t>Microsoft Teams</t>
        </is>
      </c>
      <c r="L129" s="8" t="inlineStr">
        <is>
          <t>Low</t>
        </is>
      </c>
      <c r="M129" s="8" t="inlineStr">
        <is>
          <t>L1 Service Desk</t>
        </is>
      </c>
      <c r="N129" s="8" t="inlineStr">
        <is>
          <t>No</t>
        </is>
      </c>
      <c r="O129" s="8" t="inlineStr">
        <is>
          <t>Closed</t>
        </is>
      </c>
      <c r="P129" s="10" t="n">
        <v>0.7</v>
      </c>
      <c r="Q129" s="10" t="n">
        <v>20.7</v>
      </c>
      <c r="R129" s="10" t="n">
        <v>16</v>
      </c>
      <c r="S129" s="8">
        <f>IF(OR(O129="Open",O129="In Progress"),"Pending",IF(Q129&lt;=R129,"Yes","No"))</f>
        <v/>
      </c>
      <c r="T129" s="8" t="inlineStr">
        <is>
          <t>Client cache / audio stack issue</t>
        </is>
      </c>
      <c r="U129" s="8" t="inlineStr">
        <is>
          <t>Reset Teams app and checked device permissions</t>
        </is>
      </c>
      <c r="V129" s="8" t="inlineStr">
        <is>
          <t>Yes</t>
        </is>
      </c>
    </row>
    <row r="130">
      <c r="A130" s="8" t="inlineStr">
        <is>
          <t>INC100128</t>
        </is>
      </c>
      <c r="B130" s="9" t="n">
        <v>46080.9375</v>
      </c>
      <c r="C130" s="8" t="inlineStr">
        <is>
          <t>Portal</t>
        </is>
      </c>
      <c r="D130" s="8" t="inlineStr">
        <is>
          <t>Tarun Mehta</t>
        </is>
      </c>
      <c r="E130" s="8" t="inlineStr">
        <is>
          <t>APAC</t>
        </is>
      </c>
      <c r="F130" s="8" t="inlineStr">
        <is>
          <t>Procurement</t>
        </is>
      </c>
      <c r="G130" s="8" t="inlineStr">
        <is>
          <t>Laptop</t>
        </is>
      </c>
      <c r="H130" s="8" t="inlineStr">
        <is>
          <t>MFA push not received on mobile device</t>
        </is>
      </c>
      <c r="I130" s="8" t="inlineStr">
        <is>
          <t>Access</t>
        </is>
      </c>
      <c r="J130" s="8" t="inlineStr">
        <is>
          <t>MFA Failure</t>
        </is>
      </c>
      <c r="K130" s="8" t="inlineStr">
        <is>
          <t>Okta</t>
        </is>
      </c>
      <c r="L130" s="8" t="inlineStr">
        <is>
          <t>Medium</t>
        </is>
      </c>
      <c r="M130" s="8" t="inlineStr">
        <is>
          <t>L1 IAM Support</t>
        </is>
      </c>
      <c r="N130" s="8" t="inlineStr">
        <is>
          <t>No</t>
        </is>
      </c>
      <c r="O130" s="8" t="inlineStr">
        <is>
          <t>Closed</t>
        </is>
      </c>
      <c r="P130" s="10" t="n">
        <v>0.9</v>
      </c>
      <c r="Q130" s="10" t="n">
        <v>1.5</v>
      </c>
      <c r="R130" s="10" t="n">
        <v>8</v>
      </c>
      <c r="S130" s="8">
        <f>IF(OR(O130="Open",O130="In Progress"),"Pending",IF(Q130&lt;=R130,"Yes","No"))</f>
        <v/>
      </c>
      <c r="T130" s="8" t="inlineStr">
        <is>
          <t>Device not enrolled correctly</t>
        </is>
      </c>
      <c r="U130" s="8" t="inlineStr">
        <is>
          <t>Re-enrolled MFA in Okta and tested push</t>
        </is>
      </c>
      <c r="V130" s="8" t="inlineStr">
        <is>
          <t>Yes</t>
        </is>
      </c>
    </row>
    <row r="131">
      <c r="A131" s="8" t="inlineStr">
        <is>
          <t>INC100129</t>
        </is>
      </c>
      <c r="B131" s="9" t="n">
        <v>46050.96875</v>
      </c>
      <c r="C131" s="8" t="inlineStr">
        <is>
          <t>Portal</t>
        </is>
      </c>
      <c r="D131" s="8" t="inlineStr">
        <is>
          <t>Priya Singh</t>
        </is>
      </c>
      <c r="E131" s="8" t="inlineStr">
        <is>
          <t>APAC</t>
        </is>
      </c>
      <c r="F131" s="8" t="inlineStr">
        <is>
          <t>Operations</t>
        </is>
      </c>
      <c r="G131" s="8" t="inlineStr">
        <is>
          <t>Desktop</t>
        </is>
      </c>
      <c r="H131" s="8" t="inlineStr">
        <is>
          <t>Unable to join Teams meeting from desktop app</t>
        </is>
      </c>
      <c r="I131" s="8" t="inlineStr">
        <is>
          <t>Software</t>
        </is>
      </c>
      <c r="J131" s="8" t="inlineStr">
        <is>
          <t>Teams Meeting</t>
        </is>
      </c>
      <c r="K131" s="8" t="inlineStr">
        <is>
          <t>Microsoft Teams</t>
        </is>
      </c>
      <c r="L131" s="8" t="inlineStr">
        <is>
          <t>Medium</t>
        </is>
      </c>
      <c r="M131" s="8" t="inlineStr">
        <is>
          <t>L1 Service Desk</t>
        </is>
      </c>
      <c r="N131" s="8" t="inlineStr">
        <is>
          <t>Yes</t>
        </is>
      </c>
      <c r="O131" s="8" t="inlineStr">
        <is>
          <t>Resolved</t>
        </is>
      </c>
      <c r="P131" s="10" t="n">
        <v>0.2</v>
      </c>
      <c r="Q131" s="10" t="n">
        <v>8.6</v>
      </c>
      <c r="R131" s="10" t="n">
        <v>8</v>
      </c>
      <c r="S131" s="8">
        <f>IF(OR(O131="Open",O131="In Progress"),"Pending",IF(Q131&lt;=R131,"Yes","No"))</f>
        <v/>
      </c>
      <c r="T131" s="8" t="inlineStr">
        <is>
          <t>Client cache / audio stack issue</t>
        </is>
      </c>
      <c r="U131" s="8" t="inlineStr">
        <is>
          <t>Reset Teams app and checked device permissions</t>
        </is>
      </c>
      <c r="V131" s="8" t="inlineStr">
        <is>
          <t>No</t>
        </is>
      </c>
    </row>
    <row r="132">
      <c r="A132" s="8" t="inlineStr">
        <is>
          <t>INC100130</t>
        </is>
      </c>
      <c r="B132" s="9" t="n">
        <v>46041.28125</v>
      </c>
      <c r="C132" s="8" t="inlineStr">
        <is>
          <t>Email</t>
        </is>
      </c>
      <c r="D132" s="8" t="inlineStr">
        <is>
          <t>Arjun Gupta</t>
        </is>
      </c>
      <c r="E132" s="8" t="inlineStr">
        <is>
          <t>APAC</t>
        </is>
      </c>
      <c r="F132" s="8" t="inlineStr">
        <is>
          <t>Finance</t>
        </is>
      </c>
      <c r="G132" s="8" t="inlineStr">
        <is>
          <t>Thin Client</t>
        </is>
      </c>
      <c r="H132" s="8" t="inlineStr">
        <is>
          <t>Printer not responding for shared queue</t>
        </is>
      </c>
      <c r="I132" s="8" t="inlineStr">
        <is>
          <t>Hardware</t>
        </is>
      </c>
      <c r="J132" s="8" t="inlineStr">
        <is>
          <t>Printer Issue</t>
        </is>
      </c>
      <c r="K132" s="8" t="inlineStr">
        <is>
          <t>Printer</t>
        </is>
      </c>
      <c r="L132" s="8" t="inlineStr">
        <is>
          <t>Low</t>
        </is>
      </c>
      <c r="M132" s="8" t="inlineStr">
        <is>
          <t>L1 Endpoint Support</t>
        </is>
      </c>
      <c r="N132" s="8" t="inlineStr">
        <is>
          <t>No</t>
        </is>
      </c>
      <c r="O132" s="8" t="inlineStr">
        <is>
          <t>Resolved</t>
        </is>
      </c>
      <c r="P132" s="10" t="n">
        <v>2.3</v>
      </c>
      <c r="Q132" s="10" t="n">
        <v>14.4</v>
      </c>
      <c r="R132" s="10" t="n">
        <v>16</v>
      </c>
      <c r="S132" s="8">
        <f>IF(OR(O132="Open",O132="In Progress"),"Pending",IF(Q132&lt;=R132,"Yes","No"))</f>
        <v/>
      </c>
      <c r="T132" s="8" t="inlineStr">
        <is>
          <t>Driver / spooler issue</t>
        </is>
      </c>
      <c r="U132" s="8" t="inlineStr">
        <is>
          <t>Restarted spooler and reinstalled driver</t>
        </is>
      </c>
      <c r="V132" s="8" t="inlineStr">
        <is>
          <t>Yes</t>
        </is>
      </c>
    </row>
    <row r="133">
      <c r="A133" s="8" t="inlineStr">
        <is>
          <t>INC100131</t>
        </is>
      </c>
      <c r="B133" s="9" t="n">
        <v>46073.8125</v>
      </c>
      <c r="C133" s="8" t="inlineStr">
        <is>
          <t>Email</t>
        </is>
      </c>
      <c r="D133" s="8" t="inlineStr">
        <is>
          <t>Lavanya Mehta</t>
        </is>
      </c>
      <c r="E133" s="8" t="inlineStr">
        <is>
          <t>UK</t>
        </is>
      </c>
      <c r="F133" s="8" t="inlineStr">
        <is>
          <t>Legal</t>
        </is>
      </c>
      <c r="G133" s="8" t="inlineStr">
        <is>
          <t>Laptop</t>
        </is>
      </c>
      <c r="H133" s="8" t="inlineStr">
        <is>
          <t>MFA push not received on mobile device</t>
        </is>
      </c>
      <c r="I133" s="8" t="inlineStr">
        <is>
          <t>Access</t>
        </is>
      </c>
      <c r="J133" s="8" t="inlineStr">
        <is>
          <t>MFA Failure</t>
        </is>
      </c>
      <c r="K133" s="8" t="inlineStr">
        <is>
          <t>Okta</t>
        </is>
      </c>
      <c r="L133" s="8" t="inlineStr">
        <is>
          <t>Medium</t>
        </is>
      </c>
      <c r="M133" s="8" t="inlineStr">
        <is>
          <t>L1 IAM Support</t>
        </is>
      </c>
      <c r="N133" s="8" t="inlineStr">
        <is>
          <t>No</t>
        </is>
      </c>
      <c r="O133" s="8" t="inlineStr">
        <is>
          <t>Closed</t>
        </is>
      </c>
      <c r="P133" s="10" t="n">
        <v>1.4</v>
      </c>
      <c r="Q133" s="10" t="n">
        <v>2.2</v>
      </c>
      <c r="R133" s="10" t="n">
        <v>8</v>
      </c>
      <c r="S133" s="8">
        <f>IF(OR(O133="Open",O133="In Progress"),"Pending",IF(Q133&lt;=R133,"Yes","No"))</f>
        <v/>
      </c>
      <c r="T133" s="8" t="inlineStr">
        <is>
          <t>Device not enrolled correctly</t>
        </is>
      </c>
      <c r="U133" s="8" t="inlineStr">
        <is>
          <t>Re-enrolled MFA in Okta and tested push</t>
        </is>
      </c>
      <c r="V133" s="8" t="inlineStr">
        <is>
          <t>Yes</t>
        </is>
      </c>
    </row>
    <row r="134">
      <c r="A134" s="8" t="inlineStr">
        <is>
          <t>INC100132</t>
        </is>
      </c>
      <c r="B134" s="9" t="n">
        <v>46088.48958333334</v>
      </c>
      <c r="C134" s="8" t="inlineStr">
        <is>
          <t>Chat</t>
        </is>
      </c>
      <c r="D134" s="8" t="inlineStr">
        <is>
          <t>Ravi Nair</t>
        </is>
      </c>
      <c r="E134" s="8" t="inlineStr">
        <is>
          <t>UK</t>
        </is>
      </c>
      <c r="F134" s="8" t="inlineStr">
        <is>
          <t>Procurement</t>
        </is>
      </c>
      <c r="G134" s="8" t="inlineStr">
        <is>
          <t>Laptop</t>
        </is>
      </c>
      <c r="H134" s="8" t="inlineStr">
        <is>
          <t>OTP not received for sign-in verification</t>
        </is>
      </c>
      <c r="I134" s="8" t="inlineStr">
        <is>
          <t>Access</t>
        </is>
      </c>
      <c r="J134" s="8" t="inlineStr">
        <is>
          <t>OTP Failure</t>
        </is>
      </c>
      <c r="K134" s="8" t="inlineStr">
        <is>
          <t>Okta</t>
        </is>
      </c>
      <c r="L134" s="8" t="inlineStr">
        <is>
          <t>Medium</t>
        </is>
      </c>
      <c r="M134" s="8" t="inlineStr">
        <is>
          <t>L1 IAM Support</t>
        </is>
      </c>
      <c r="N134" s="8" t="inlineStr">
        <is>
          <t>No</t>
        </is>
      </c>
      <c r="O134" s="8" t="inlineStr">
        <is>
          <t>Closed</t>
        </is>
      </c>
      <c r="P134" s="10" t="n">
        <v>2.2</v>
      </c>
      <c r="Q134" s="10" t="n">
        <v>3.3</v>
      </c>
      <c r="R134" s="10" t="n">
        <v>8</v>
      </c>
      <c r="S134" s="8">
        <f>IF(OR(O134="Open",O134="In Progress"),"Pending",IF(Q134&lt;=R134,"Yes","No"))</f>
        <v/>
      </c>
      <c r="T134" s="8" t="inlineStr">
        <is>
          <t>Outdated phone number</t>
        </is>
      </c>
      <c r="U134" s="8" t="inlineStr">
        <is>
          <t>Updated factor settings and retried verification</t>
        </is>
      </c>
      <c r="V134" s="8" t="inlineStr">
        <is>
          <t>Yes</t>
        </is>
      </c>
    </row>
    <row r="135">
      <c r="A135" s="8" t="inlineStr">
        <is>
          <t>INC100133</t>
        </is>
      </c>
      <c r="B135" s="9" t="n">
        <v>46089.25</v>
      </c>
      <c r="C135" s="8" t="inlineStr">
        <is>
          <t>Portal</t>
        </is>
      </c>
      <c r="D135" s="8" t="inlineStr">
        <is>
          <t>Divya Joshi</t>
        </is>
      </c>
      <c r="E135" s="8" t="inlineStr">
        <is>
          <t>APAC</t>
        </is>
      </c>
      <c r="F135" s="8" t="inlineStr">
        <is>
          <t>Procurement</t>
        </is>
      </c>
      <c r="G135" s="8" t="inlineStr">
        <is>
          <t>Laptop</t>
        </is>
      </c>
      <c r="H135" s="8" t="inlineStr">
        <is>
          <t>User account locked after failed logins</t>
        </is>
      </c>
      <c r="I135" s="8" t="inlineStr">
        <is>
          <t>Login</t>
        </is>
      </c>
      <c r="J135" s="8" t="inlineStr">
        <is>
          <t>Account Unlock</t>
        </is>
      </c>
      <c r="K135" s="8" t="inlineStr">
        <is>
          <t>Active Directory</t>
        </is>
      </c>
      <c r="L135" s="8" t="inlineStr">
        <is>
          <t>High</t>
        </is>
      </c>
      <c r="M135" s="8" t="inlineStr">
        <is>
          <t>L1 Service Desk</t>
        </is>
      </c>
      <c r="N135" s="8" t="inlineStr">
        <is>
          <t>No</t>
        </is>
      </c>
      <c r="O135" s="8" t="inlineStr">
        <is>
          <t>Resolved</t>
        </is>
      </c>
      <c r="P135" s="10" t="n">
        <v>1</v>
      </c>
      <c r="Q135" s="10" t="n">
        <v>1.6</v>
      </c>
      <c r="R135" s="10" t="n">
        <v>4</v>
      </c>
      <c r="S135" s="8">
        <f>IF(OR(O135="Open",O135="In Progress"),"Pending",IF(Q135&lt;=R135,"Yes","No"))</f>
        <v/>
      </c>
      <c r="T135" s="8" t="inlineStr">
        <is>
          <t>Repeated failed attempts</t>
        </is>
      </c>
      <c r="U135" s="8" t="inlineStr">
        <is>
          <t>Unlocked account and advised correct password usage</t>
        </is>
      </c>
      <c r="V135" s="8" t="inlineStr">
        <is>
          <t>Yes</t>
        </is>
      </c>
    </row>
    <row r="136">
      <c r="A136" s="8" t="inlineStr">
        <is>
          <t>INC100134</t>
        </is>
      </c>
      <c r="B136" s="9" t="n">
        <v>46091.55208333334</v>
      </c>
      <c r="C136" s="8" t="inlineStr">
        <is>
          <t>Phone</t>
        </is>
      </c>
      <c r="D136" s="8" t="inlineStr">
        <is>
          <t>Meera Sharma</t>
        </is>
      </c>
      <c r="E136" s="8" t="inlineStr">
        <is>
          <t>US</t>
        </is>
      </c>
      <c r="F136" s="8" t="inlineStr">
        <is>
          <t>Sales</t>
        </is>
      </c>
      <c r="G136" s="8" t="inlineStr">
        <is>
          <t>Laptop</t>
        </is>
      </c>
      <c r="H136" s="8" t="inlineStr">
        <is>
          <t>Outlook not opening on startup</t>
        </is>
      </c>
      <c r="I136" s="8" t="inlineStr">
        <is>
          <t>Software</t>
        </is>
      </c>
      <c r="J136" s="8" t="inlineStr">
        <is>
          <t>Outlook Issue</t>
        </is>
      </c>
      <c r="K136" s="8" t="inlineStr">
        <is>
          <t>Microsoft Office</t>
        </is>
      </c>
      <c r="L136" s="8" t="inlineStr">
        <is>
          <t>Low</t>
        </is>
      </c>
      <c r="M136" s="8" t="inlineStr">
        <is>
          <t>L1 Service Desk</t>
        </is>
      </c>
      <c r="N136" s="8" t="inlineStr">
        <is>
          <t>No</t>
        </is>
      </c>
      <c r="O136" s="8" t="inlineStr">
        <is>
          <t>Closed</t>
        </is>
      </c>
      <c r="P136" s="10" t="n">
        <v>1.4</v>
      </c>
      <c r="Q136" s="10" t="n">
        <v>7.2</v>
      </c>
      <c r="R136" s="10" t="n">
        <v>16</v>
      </c>
      <c r="S136" s="8">
        <f>IF(OR(O136="Open",O136="In Progress"),"Pending",IF(Q136&lt;=R136,"Yes","No"))</f>
        <v/>
      </c>
      <c r="T136" s="8" t="inlineStr">
        <is>
          <t>Corrupt Office add-in</t>
        </is>
      </c>
      <c r="U136" s="8" t="inlineStr">
        <is>
          <t>Started in safe mode and repaired Office</t>
        </is>
      </c>
      <c r="V136" s="8" t="inlineStr">
        <is>
          <t>Yes</t>
        </is>
      </c>
    </row>
    <row r="137">
      <c r="A137" s="8" t="inlineStr">
        <is>
          <t>INC100135</t>
        </is>
      </c>
      <c r="B137" s="9" t="n">
        <v>46063.07291666666</v>
      </c>
      <c r="C137" s="8" t="inlineStr">
        <is>
          <t>Chat</t>
        </is>
      </c>
      <c r="D137" s="8" t="inlineStr">
        <is>
          <t>Isha Jain</t>
        </is>
      </c>
      <c r="E137" s="8" t="inlineStr">
        <is>
          <t>US</t>
        </is>
      </c>
      <c r="F137" s="8" t="inlineStr">
        <is>
          <t>Procurement</t>
        </is>
      </c>
      <c r="G137" s="8" t="inlineStr">
        <is>
          <t>Desktop</t>
        </is>
      </c>
      <c r="H137" s="8" t="inlineStr">
        <is>
          <t>Need creation of new user account for onboarding</t>
        </is>
      </c>
      <c r="I137" s="8" t="inlineStr">
        <is>
          <t>Access</t>
        </is>
      </c>
      <c r="J137" s="8" t="inlineStr">
        <is>
          <t>User Creation</t>
        </is>
      </c>
      <c r="K137" s="8" t="inlineStr">
        <is>
          <t>Azure AD</t>
        </is>
      </c>
      <c r="L137" s="8" t="inlineStr">
        <is>
          <t>High</t>
        </is>
      </c>
      <c r="M137" s="8" t="inlineStr">
        <is>
          <t>L1 Service Desk</t>
        </is>
      </c>
      <c r="N137" s="8" t="inlineStr">
        <is>
          <t>No</t>
        </is>
      </c>
      <c r="O137" s="8" t="inlineStr">
        <is>
          <t>Resolved</t>
        </is>
      </c>
      <c r="P137" s="10" t="n">
        <v>1.1</v>
      </c>
      <c r="Q137" s="10" t="n">
        <v>1.1</v>
      </c>
      <c r="R137" s="10" t="n">
        <v>4</v>
      </c>
      <c r="S137" s="8">
        <f>IF(OR(O137="Open",O137="In Progress"),"Pending",IF(Q137&lt;=R137,"Yes","No"))</f>
        <v/>
      </c>
      <c r="T137" s="8" t="inlineStr">
        <is>
          <t>New hire onboarding</t>
        </is>
      </c>
      <c r="U137" s="8" t="inlineStr">
        <is>
          <t>Created account and assigned baseline groups</t>
        </is>
      </c>
      <c r="V137" s="8" t="inlineStr">
        <is>
          <t>No</t>
        </is>
      </c>
    </row>
    <row r="138">
      <c r="A138" s="8" t="inlineStr">
        <is>
          <t>INC100136</t>
        </is>
      </c>
      <c r="B138" s="9" t="n">
        <v>46063.96875</v>
      </c>
      <c r="C138" s="8" t="inlineStr">
        <is>
          <t>Email</t>
        </is>
      </c>
      <c r="D138" s="8" t="inlineStr">
        <is>
          <t>Priya Rao</t>
        </is>
      </c>
      <c r="E138" s="8" t="inlineStr">
        <is>
          <t>APAC</t>
        </is>
      </c>
      <c r="F138" s="8" t="inlineStr">
        <is>
          <t>Legal</t>
        </is>
      </c>
      <c r="G138" s="8" t="inlineStr">
        <is>
          <t>iPhone</t>
        </is>
      </c>
      <c r="H138" s="8" t="inlineStr">
        <is>
          <t>User account locked after failed logins</t>
        </is>
      </c>
      <c r="I138" s="8" t="inlineStr">
        <is>
          <t>Login</t>
        </is>
      </c>
      <c r="J138" s="8" t="inlineStr">
        <is>
          <t>Account Unlock</t>
        </is>
      </c>
      <c r="K138" s="8" t="inlineStr">
        <is>
          <t>Active Directory</t>
        </is>
      </c>
      <c r="L138" s="8" t="inlineStr">
        <is>
          <t>High</t>
        </is>
      </c>
      <c r="M138" s="8" t="inlineStr">
        <is>
          <t>L1 Service Desk</t>
        </is>
      </c>
      <c r="N138" s="8" t="inlineStr">
        <is>
          <t>No</t>
        </is>
      </c>
      <c r="O138" s="8" t="inlineStr">
        <is>
          <t>Closed</t>
        </is>
      </c>
      <c r="P138" s="10" t="n">
        <v>1.1</v>
      </c>
      <c r="Q138" s="10" t="n">
        <v>0.8</v>
      </c>
      <c r="R138" s="10" t="n">
        <v>4</v>
      </c>
      <c r="S138" s="8">
        <f>IF(OR(O138="Open",O138="In Progress"),"Pending",IF(Q138&lt;=R138,"Yes","No"))</f>
        <v/>
      </c>
      <c r="T138" s="8" t="inlineStr">
        <is>
          <t>Repeated failed attempts</t>
        </is>
      </c>
      <c r="U138" s="8" t="inlineStr">
        <is>
          <t>Unlocked account and advised correct password usage</t>
        </is>
      </c>
      <c r="V138" s="8" t="inlineStr">
        <is>
          <t>Yes</t>
        </is>
      </c>
    </row>
    <row r="139">
      <c r="A139" s="8" t="inlineStr">
        <is>
          <t>INC100137</t>
        </is>
      </c>
      <c r="B139" s="9" t="n">
        <v>46083.07291666666</v>
      </c>
      <c r="C139" s="8" t="inlineStr">
        <is>
          <t>Email</t>
        </is>
      </c>
      <c r="D139" s="8" t="inlineStr">
        <is>
          <t>Kiran Rao</t>
        </is>
      </c>
      <c r="E139" s="8" t="inlineStr">
        <is>
          <t>APAC</t>
        </is>
      </c>
      <c r="F139" s="8" t="inlineStr">
        <is>
          <t>Procurement</t>
        </is>
      </c>
      <c r="G139" s="8" t="inlineStr">
        <is>
          <t>Laptop</t>
        </is>
      </c>
      <c r="H139" s="8" t="inlineStr">
        <is>
          <t>System performance slow after updates</t>
        </is>
      </c>
      <c r="I139" s="8" t="inlineStr">
        <is>
          <t>Hardware</t>
        </is>
      </c>
      <c r="J139" s="8" t="inlineStr">
        <is>
          <t>Performance</t>
        </is>
      </c>
      <c r="K139" s="8" t="inlineStr">
        <is>
          <t>Windows</t>
        </is>
      </c>
      <c r="L139" s="8" t="inlineStr">
        <is>
          <t>Low</t>
        </is>
      </c>
      <c r="M139" s="8" t="inlineStr">
        <is>
          <t>L1 Endpoint Support</t>
        </is>
      </c>
      <c r="N139" s="8" t="inlineStr">
        <is>
          <t>No</t>
        </is>
      </c>
      <c r="O139" s="8" t="inlineStr">
        <is>
          <t>Closed</t>
        </is>
      </c>
      <c r="P139" s="10" t="n">
        <v>0.7</v>
      </c>
      <c r="Q139" s="10" t="n">
        <v>7</v>
      </c>
      <c r="R139" s="10" t="n">
        <v>16</v>
      </c>
      <c r="S139" s="8">
        <f>IF(OR(O139="Open",O139="In Progress"),"Pending",IF(Q139&lt;=R139,"Yes","No"))</f>
        <v/>
      </c>
      <c r="T139" s="8" t="inlineStr">
        <is>
          <t>High startup load</t>
        </is>
      </c>
      <c r="U139" s="8" t="inlineStr">
        <is>
          <t>Optimized startup items and ran health checks</t>
        </is>
      </c>
      <c r="V139" s="8" t="inlineStr">
        <is>
          <t>Yes</t>
        </is>
      </c>
    </row>
    <row r="140">
      <c r="A140" s="8" t="inlineStr">
        <is>
          <t>INC100138</t>
        </is>
      </c>
      <c r="B140" s="9" t="n">
        <v>46076.76041666666</v>
      </c>
      <c r="C140" s="8" t="inlineStr">
        <is>
          <t>Chat</t>
        </is>
      </c>
      <c r="D140" s="8" t="inlineStr">
        <is>
          <t>Neha Singh</t>
        </is>
      </c>
      <c r="E140" s="8" t="inlineStr">
        <is>
          <t>APAC</t>
        </is>
      </c>
      <c r="F140" s="8" t="inlineStr">
        <is>
          <t>Customer Support</t>
        </is>
      </c>
      <c r="G140" s="8" t="inlineStr">
        <is>
          <t>Laptop</t>
        </is>
      </c>
      <c r="H140" s="8" t="inlineStr">
        <is>
          <t>Printer not responding for shared queue</t>
        </is>
      </c>
      <c r="I140" s="8" t="inlineStr">
        <is>
          <t>Hardware</t>
        </is>
      </c>
      <c r="J140" s="8" t="inlineStr">
        <is>
          <t>Printer Issue</t>
        </is>
      </c>
      <c r="K140" s="8" t="inlineStr">
        <is>
          <t>Printer</t>
        </is>
      </c>
      <c r="L140" s="8" t="inlineStr">
        <is>
          <t>Low</t>
        </is>
      </c>
      <c r="M140" s="8" t="inlineStr">
        <is>
          <t>L1 Endpoint Support</t>
        </is>
      </c>
      <c r="N140" s="8" t="inlineStr">
        <is>
          <t>No</t>
        </is>
      </c>
      <c r="O140" s="8" t="inlineStr">
        <is>
          <t>Closed</t>
        </is>
      </c>
      <c r="P140" s="10" t="n">
        <v>2.7</v>
      </c>
      <c r="Q140" s="10" t="n">
        <v>18</v>
      </c>
      <c r="R140" s="10" t="n">
        <v>16</v>
      </c>
      <c r="S140" s="8">
        <f>IF(OR(O140="Open",O140="In Progress"),"Pending",IF(Q140&lt;=R140,"Yes","No"))</f>
        <v/>
      </c>
      <c r="T140" s="8" t="inlineStr">
        <is>
          <t>Driver / spooler issue</t>
        </is>
      </c>
      <c r="U140" s="8" t="inlineStr">
        <is>
          <t>Restarted spooler and reinstalled driver</t>
        </is>
      </c>
      <c r="V140" s="8" t="inlineStr">
        <is>
          <t>Yes</t>
        </is>
      </c>
    </row>
    <row r="141">
      <c r="A141" s="8" t="inlineStr">
        <is>
          <t>INC100139</t>
        </is>
      </c>
      <c r="B141" s="9" t="n">
        <v>46061.05208333334</v>
      </c>
      <c r="C141" s="8" t="inlineStr">
        <is>
          <t>Chat</t>
        </is>
      </c>
      <c r="D141" s="8" t="inlineStr">
        <is>
          <t>Sanjay Verma</t>
        </is>
      </c>
      <c r="E141" s="8" t="inlineStr">
        <is>
          <t>UK</t>
        </is>
      </c>
      <c r="F141" s="8" t="inlineStr">
        <is>
          <t>IT</t>
        </is>
      </c>
      <c r="G141" s="8" t="inlineStr">
        <is>
          <t>iPhone</t>
        </is>
      </c>
      <c r="H141" s="8" t="inlineStr">
        <is>
          <t>Password reset required after expiry</t>
        </is>
      </c>
      <c r="I141" s="8" t="inlineStr">
        <is>
          <t>Login</t>
        </is>
      </c>
      <c r="J141" s="8" t="inlineStr">
        <is>
          <t>Password Reset</t>
        </is>
      </c>
      <c r="K141" s="8" t="inlineStr">
        <is>
          <t>Active Directory</t>
        </is>
      </c>
      <c r="L141" s="8" t="inlineStr">
        <is>
          <t>High</t>
        </is>
      </c>
      <c r="M141" s="8" t="inlineStr">
        <is>
          <t>L1 Service Desk</t>
        </is>
      </c>
      <c r="N141" s="8" t="inlineStr">
        <is>
          <t>Yes</t>
        </is>
      </c>
      <c r="O141" s="8" t="inlineStr">
        <is>
          <t>Resolved</t>
        </is>
      </c>
      <c r="P141" s="10" t="n">
        <v>0.4</v>
      </c>
      <c r="Q141" s="10" t="n">
        <v>2.5</v>
      </c>
      <c r="R141" s="10" t="n">
        <v>4</v>
      </c>
      <c r="S141" s="8">
        <f>IF(OR(O141="Open",O141="In Progress"),"Pending",IF(Q141&lt;=R141,"Yes","No"))</f>
        <v/>
      </c>
      <c r="T141" s="8" t="inlineStr">
        <is>
          <t>Password policy expiry</t>
        </is>
      </c>
      <c r="U141" s="8" t="inlineStr">
        <is>
          <t>Reset password in AD and confirmed sign-in</t>
        </is>
      </c>
      <c r="V141" s="8" t="inlineStr">
        <is>
          <t>No</t>
        </is>
      </c>
    </row>
    <row r="142">
      <c r="A142" s="8" t="inlineStr">
        <is>
          <t>INC100140</t>
        </is>
      </c>
      <c r="B142" s="9" t="n">
        <v>46054.51041666666</v>
      </c>
      <c r="C142" s="8" t="inlineStr">
        <is>
          <t>Chat</t>
        </is>
      </c>
      <c r="D142" s="8" t="inlineStr">
        <is>
          <t>Karthik Jain</t>
        </is>
      </c>
      <c r="E142" s="8" t="inlineStr">
        <is>
          <t>UK</t>
        </is>
      </c>
      <c r="F142" s="8" t="inlineStr">
        <is>
          <t>HR</t>
        </is>
      </c>
      <c r="G142" s="8" t="inlineStr">
        <is>
          <t>iPhone</t>
        </is>
      </c>
      <c r="H142" s="8" t="inlineStr">
        <is>
          <t>Outlook not opening on startup</t>
        </is>
      </c>
      <c r="I142" s="8" t="inlineStr">
        <is>
          <t>Software</t>
        </is>
      </c>
      <c r="J142" s="8" t="inlineStr">
        <is>
          <t>Outlook Issue</t>
        </is>
      </c>
      <c r="K142" s="8" t="inlineStr">
        <is>
          <t>Microsoft Office</t>
        </is>
      </c>
      <c r="L142" s="8" t="inlineStr">
        <is>
          <t>Medium</t>
        </is>
      </c>
      <c r="M142" s="8" t="inlineStr">
        <is>
          <t>L1 Service Desk</t>
        </is>
      </c>
      <c r="N142" s="8" t="inlineStr">
        <is>
          <t>No</t>
        </is>
      </c>
      <c r="O142" s="8" t="inlineStr">
        <is>
          <t>Resolved</t>
        </is>
      </c>
      <c r="P142" s="10" t="n">
        <v>0.6</v>
      </c>
      <c r="Q142" s="10" t="n">
        <v>11.9</v>
      </c>
      <c r="R142" s="10" t="n">
        <v>8</v>
      </c>
      <c r="S142" s="8">
        <f>IF(OR(O142="Open",O142="In Progress"),"Pending",IF(Q142&lt;=R142,"Yes","No"))</f>
        <v/>
      </c>
      <c r="T142" s="8" t="inlineStr">
        <is>
          <t>Corrupt Office add-in</t>
        </is>
      </c>
      <c r="U142" s="8" t="inlineStr">
        <is>
          <t>Started in safe mode and repaired Office</t>
        </is>
      </c>
      <c r="V142" s="8" t="inlineStr">
        <is>
          <t>Yes</t>
        </is>
      </c>
    </row>
    <row r="143">
      <c r="A143" s="8" t="inlineStr">
        <is>
          <t>INC100141</t>
        </is>
      </c>
      <c r="B143" s="9" t="n">
        <v>46075.19791666666</v>
      </c>
      <c r="C143" s="8" t="inlineStr">
        <is>
          <t>Phone</t>
        </is>
      </c>
      <c r="D143" s="8" t="inlineStr">
        <is>
          <t>Lavanya Verma</t>
        </is>
      </c>
      <c r="E143" s="8" t="inlineStr">
        <is>
          <t>US</t>
        </is>
      </c>
      <c r="F143" s="8" t="inlineStr">
        <is>
          <t>Sales</t>
        </is>
      </c>
      <c r="G143" s="8" t="inlineStr">
        <is>
          <t>Thin Client</t>
        </is>
      </c>
      <c r="H143" s="8" t="inlineStr">
        <is>
          <t>Device marked non-compliant in management portal</t>
        </is>
      </c>
      <c r="I143" s="8" t="inlineStr">
        <is>
          <t>Compliance</t>
        </is>
      </c>
      <c r="J143" s="8" t="inlineStr">
        <is>
          <t>Compliance Alert</t>
        </is>
      </c>
      <c r="K143" s="8" t="inlineStr">
        <is>
          <t>Intune</t>
        </is>
      </c>
      <c r="L143" s="8" t="inlineStr">
        <is>
          <t>High</t>
        </is>
      </c>
      <c r="M143" s="8" t="inlineStr">
        <is>
          <t>L1 Endpoint Support</t>
        </is>
      </c>
      <c r="N143" s="8" t="inlineStr">
        <is>
          <t>No</t>
        </is>
      </c>
      <c r="O143" s="8" t="inlineStr">
        <is>
          <t>Closed</t>
        </is>
      </c>
      <c r="P143" s="10" t="n">
        <v>0.7</v>
      </c>
      <c r="Q143" s="10" t="n">
        <v>1.8</v>
      </c>
      <c r="R143" s="10" t="n">
        <v>4</v>
      </c>
      <c r="S143" s="8">
        <f>IF(OR(O143="Open",O143="In Progress"),"Pending",IF(Q143&lt;=R143,"Yes","No"))</f>
        <v/>
      </c>
      <c r="T143" s="8" t="inlineStr">
        <is>
          <t>Encryption / policy mismatch</t>
        </is>
      </c>
      <c r="U143" s="8" t="inlineStr">
        <is>
          <t>Triggered policy sync and updated compliance state</t>
        </is>
      </c>
      <c r="V143" s="8" t="inlineStr">
        <is>
          <t>No</t>
        </is>
      </c>
    </row>
    <row r="144">
      <c r="A144" s="8" t="inlineStr">
        <is>
          <t>INC100142</t>
        </is>
      </c>
      <c r="B144" s="9" t="n">
        <v>46071.46875</v>
      </c>
      <c r="C144" s="8" t="inlineStr">
        <is>
          <t>Chat</t>
        </is>
      </c>
      <c r="D144" s="8" t="inlineStr">
        <is>
          <t>Tarun Das</t>
        </is>
      </c>
      <c r="E144" s="8" t="inlineStr">
        <is>
          <t>US</t>
        </is>
      </c>
      <c r="F144" s="8" t="inlineStr">
        <is>
          <t>Operations</t>
        </is>
      </c>
      <c r="G144" s="8" t="inlineStr">
        <is>
          <t>iPhone</t>
        </is>
      </c>
      <c r="H144" s="8" t="inlineStr">
        <is>
          <t>User account locked after failed logins</t>
        </is>
      </c>
      <c r="I144" s="8" t="inlineStr">
        <is>
          <t>Login</t>
        </is>
      </c>
      <c r="J144" s="8" t="inlineStr">
        <is>
          <t>Account Unlock</t>
        </is>
      </c>
      <c r="K144" s="8" t="inlineStr">
        <is>
          <t>Active Directory</t>
        </is>
      </c>
      <c r="L144" s="8" t="inlineStr">
        <is>
          <t>Medium</t>
        </is>
      </c>
      <c r="M144" s="8" t="inlineStr">
        <is>
          <t>L1 Service Desk</t>
        </is>
      </c>
      <c r="N144" s="8" t="inlineStr">
        <is>
          <t>No</t>
        </is>
      </c>
      <c r="O144" s="8" t="inlineStr">
        <is>
          <t>In Progress</t>
        </is>
      </c>
      <c r="P144" s="10" t="n">
        <v>0.6</v>
      </c>
      <c r="Q144" s="10" t="n"/>
      <c r="R144" s="10" t="n">
        <v>8</v>
      </c>
      <c r="S144" s="8">
        <f>IF(OR(O144="Open",O144="In Progress"),"Pending",IF(Q144&lt;=R144,"Yes","No"))</f>
        <v/>
      </c>
      <c r="T144" s="8" t="inlineStr">
        <is>
          <t>Repeated failed attempts</t>
        </is>
      </c>
      <c r="U144" s="8" t="inlineStr">
        <is>
          <t>Pending specialist review / awaiting user confirmation</t>
        </is>
      </c>
      <c r="V144" s="8" t="inlineStr">
        <is>
          <t>No</t>
        </is>
      </c>
    </row>
    <row r="145">
      <c r="A145" s="8" t="inlineStr">
        <is>
          <t>INC100143</t>
        </is>
      </c>
      <c r="B145" s="9" t="n">
        <v>46078.11458333334</v>
      </c>
      <c r="C145" s="8" t="inlineStr">
        <is>
          <t>Portal</t>
        </is>
      </c>
      <c r="D145" s="8" t="inlineStr">
        <is>
          <t>Rahul Joshi</t>
        </is>
      </c>
      <c r="E145" s="8" t="inlineStr">
        <is>
          <t>APAC</t>
        </is>
      </c>
      <c r="F145" s="8" t="inlineStr">
        <is>
          <t>Finance</t>
        </is>
      </c>
      <c r="G145" s="8" t="inlineStr">
        <is>
          <t>Laptop</t>
        </is>
      </c>
      <c r="H145" s="8" t="inlineStr">
        <is>
          <t>OTP not received for sign-in verification</t>
        </is>
      </c>
      <c r="I145" s="8" t="inlineStr">
        <is>
          <t>Access</t>
        </is>
      </c>
      <c r="J145" s="8" t="inlineStr">
        <is>
          <t>OTP Failure</t>
        </is>
      </c>
      <c r="K145" s="8" t="inlineStr">
        <is>
          <t>Okta</t>
        </is>
      </c>
      <c r="L145" s="8" t="inlineStr">
        <is>
          <t>Medium</t>
        </is>
      </c>
      <c r="M145" s="8" t="inlineStr">
        <is>
          <t>L1 IAM Support</t>
        </is>
      </c>
      <c r="N145" s="8" t="inlineStr">
        <is>
          <t>Yes</t>
        </is>
      </c>
      <c r="O145" s="8" t="inlineStr">
        <is>
          <t>Closed</t>
        </is>
      </c>
      <c r="P145" s="10" t="n">
        <v>1.2</v>
      </c>
      <c r="Q145" s="10" t="n">
        <v>1.4</v>
      </c>
      <c r="R145" s="10" t="n">
        <v>8</v>
      </c>
      <c r="S145" s="8">
        <f>IF(OR(O145="Open",O145="In Progress"),"Pending",IF(Q145&lt;=R145,"Yes","No"))</f>
        <v/>
      </c>
      <c r="T145" s="8" t="inlineStr">
        <is>
          <t>Outdated phone number</t>
        </is>
      </c>
      <c r="U145" s="8" t="inlineStr">
        <is>
          <t>Updated factor settings and retried verification</t>
        </is>
      </c>
      <c r="V145" s="8" t="inlineStr">
        <is>
          <t>No</t>
        </is>
      </c>
    </row>
    <row r="146">
      <c r="A146" s="8" t="inlineStr">
        <is>
          <t>INC100144</t>
        </is>
      </c>
      <c r="B146" s="9" t="n">
        <v>46050.04166666666</v>
      </c>
      <c r="C146" s="8" t="inlineStr">
        <is>
          <t>Portal</t>
        </is>
      </c>
      <c r="D146" s="8" t="inlineStr">
        <is>
          <t>Arjun Singh</t>
        </is>
      </c>
      <c r="E146" s="8" t="inlineStr">
        <is>
          <t>India</t>
        </is>
      </c>
      <c r="F146" s="8" t="inlineStr">
        <is>
          <t>Finance</t>
        </is>
      </c>
      <c r="G146" s="8" t="inlineStr">
        <is>
          <t>Desktop</t>
        </is>
      </c>
      <c r="H146" s="8" t="inlineStr">
        <is>
          <t>Password reset required after expiry</t>
        </is>
      </c>
      <c r="I146" s="8" t="inlineStr">
        <is>
          <t>Login</t>
        </is>
      </c>
      <c r="J146" s="8" t="inlineStr">
        <is>
          <t>Password Reset</t>
        </is>
      </c>
      <c r="K146" s="8" t="inlineStr">
        <is>
          <t>Active Directory</t>
        </is>
      </c>
      <c r="L146" s="8" t="inlineStr">
        <is>
          <t>High</t>
        </is>
      </c>
      <c r="M146" s="8" t="inlineStr">
        <is>
          <t>L1 Service Desk</t>
        </is>
      </c>
      <c r="N146" s="8" t="inlineStr">
        <is>
          <t>No</t>
        </is>
      </c>
      <c r="O146" s="8" t="inlineStr">
        <is>
          <t>Resolved</t>
        </is>
      </c>
      <c r="P146" s="10" t="n">
        <v>0.7</v>
      </c>
      <c r="Q146" s="10" t="n">
        <v>1</v>
      </c>
      <c r="R146" s="10" t="n">
        <v>4</v>
      </c>
      <c r="S146" s="8">
        <f>IF(OR(O146="Open",O146="In Progress"),"Pending",IF(Q146&lt;=R146,"Yes","No"))</f>
        <v/>
      </c>
      <c r="T146" s="8" t="inlineStr">
        <is>
          <t>Password policy expiry</t>
        </is>
      </c>
      <c r="U146" s="8" t="inlineStr">
        <is>
          <t>Reset password in AD and confirmed sign-in</t>
        </is>
      </c>
      <c r="V146" s="8" t="inlineStr">
        <is>
          <t>Yes</t>
        </is>
      </c>
    </row>
    <row r="147">
      <c r="A147" s="8" t="inlineStr">
        <is>
          <t>INC100145</t>
        </is>
      </c>
      <c r="B147" s="9" t="n">
        <v>46043.67708333334</v>
      </c>
      <c r="C147" s="8" t="inlineStr">
        <is>
          <t>Portal</t>
        </is>
      </c>
      <c r="D147" s="8" t="inlineStr">
        <is>
          <t>Pooja Mehta</t>
        </is>
      </c>
      <c r="E147" s="8" t="inlineStr">
        <is>
          <t>APAC</t>
        </is>
      </c>
      <c r="F147" s="8" t="inlineStr">
        <is>
          <t>Legal</t>
        </is>
      </c>
      <c r="G147" s="8" t="inlineStr">
        <is>
          <t>iPad</t>
        </is>
      </c>
      <c r="H147" s="8" t="inlineStr">
        <is>
          <t>System performance slow after updates</t>
        </is>
      </c>
      <c r="I147" s="8" t="inlineStr">
        <is>
          <t>Hardware</t>
        </is>
      </c>
      <c r="J147" s="8" t="inlineStr">
        <is>
          <t>Performance</t>
        </is>
      </c>
      <c r="K147" s="8" t="inlineStr">
        <is>
          <t>Windows</t>
        </is>
      </c>
      <c r="L147" s="8" t="inlineStr">
        <is>
          <t>Low</t>
        </is>
      </c>
      <c r="M147" s="8" t="inlineStr">
        <is>
          <t>L1 Endpoint Support</t>
        </is>
      </c>
      <c r="N147" s="8" t="inlineStr">
        <is>
          <t>No</t>
        </is>
      </c>
      <c r="O147" s="8" t="inlineStr">
        <is>
          <t>Resolved</t>
        </is>
      </c>
      <c r="P147" s="10" t="n">
        <v>2.8</v>
      </c>
      <c r="Q147" s="10" t="n">
        <v>9.800000000000001</v>
      </c>
      <c r="R147" s="10" t="n">
        <v>16</v>
      </c>
      <c r="S147" s="8">
        <f>IF(OR(O147="Open",O147="In Progress"),"Pending",IF(Q147&lt;=R147,"Yes","No"))</f>
        <v/>
      </c>
      <c r="T147" s="8" t="inlineStr">
        <is>
          <t>High startup load</t>
        </is>
      </c>
      <c r="U147" s="8" t="inlineStr">
        <is>
          <t>Optimized startup items and ran health checks</t>
        </is>
      </c>
      <c r="V147" s="8" t="inlineStr">
        <is>
          <t>Yes</t>
        </is>
      </c>
    </row>
    <row r="148">
      <c r="A148" s="8" t="inlineStr">
        <is>
          <t>INC100146</t>
        </is>
      </c>
      <c r="B148" s="9" t="n">
        <v>46074.19791666666</v>
      </c>
      <c r="C148" s="8" t="inlineStr">
        <is>
          <t>Phone</t>
        </is>
      </c>
      <c r="D148" s="8" t="inlineStr">
        <is>
          <t>Manoj Patel</t>
        </is>
      </c>
      <c r="E148" s="8" t="inlineStr">
        <is>
          <t>US</t>
        </is>
      </c>
      <c r="F148" s="8" t="inlineStr">
        <is>
          <t>Finance</t>
        </is>
      </c>
      <c r="G148" s="8" t="inlineStr">
        <is>
          <t>iPhone</t>
        </is>
      </c>
      <c r="H148" s="8" t="inlineStr">
        <is>
          <t>Outlook not opening on startup</t>
        </is>
      </c>
      <c r="I148" s="8" t="inlineStr">
        <is>
          <t>Software</t>
        </is>
      </c>
      <c r="J148" s="8" t="inlineStr">
        <is>
          <t>Outlook Issue</t>
        </is>
      </c>
      <c r="K148" s="8" t="inlineStr">
        <is>
          <t>Microsoft Office</t>
        </is>
      </c>
      <c r="L148" s="8" t="inlineStr">
        <is>
          <t>Medium</t>
        </is>
      </c>
      <c r="M148" s="8" t="inlineStr">
        <is>
          <t>L1 Service Desk</t>
        </is>
      </c>
      <c r="N148" s="8" t="inlineStr">
        <is>
          <t>No</t>
        </is>
      </c>
      <c r="O148" s="8" t="inlineStr">
        <is>
          <t>Closed</t>
        </is>
      </c>
      <c r="P148" s="10" t="n">
        <v>1.7</v>
      </c>
      <c r="Q148" s="10" t="n">
        <v>4.3</v>
      </c>
      <c r="R148" s="10" t="n">
        <v>8</v>
      </c>
      <c r="S148" s="8">
        <f>IF(OR(O148="Open",O148="In Progress"),"Pending",IF(Q148&lt;=R148,"Yes","No"))</f>
        <v/>
      </c>
      <c r="T148" s="8" t="inlineStr">
        <is>
          <t>Corrupt Office add-in</t>
        </is>
      </c>
      <c r="U148" s="8" t="inlineStr">
        <is>
          <t>Started in safe mode and repaired Office</t>
        </is>
      </c>
      <c r="V148" s="8" t="inlineStr">
        <is>
          <t>Yes</t>
        </is>
      </c>
    </row>
    <row r="149">
      <c r="A149" s="8" t="inlineStr">
        <is>
          <t>INC100147</t>
        </is>
      </c>
      <c r="B149" s="9" t="n">
        <v>46041.5625</v>
      </c>
      <c r="C149" s="8" t="inlineStr">
        <is>
          <t>Portal</t>
        </is>
      </c>
      <c r="D149" s="8" t="inlineStr">
        <is>
          <t>Arjun Joshi</t>
        </is>
      </c>
      <c r="E149" s="8" t="inlineStr">
        <is>
          <t>India</t>
        </is>
      </c>
      <c r="F149" s="8" t="inlineStr">
        <is>
          <t>Finance</t>
        </is>
      </c>
      <c r="G149" s="8" t="inlineStr">
        <is>
          <t>Thin Client</t>
        </is>
      </c>
      <c r="H149" s="8" t="inlineStr">
        <is>
          <t>Antivirus disabled warning on endpoint</t>
        </is>
      </c>
      <c r="I149" s="8" t="inlineStr">
        <is>
          <t>Compliance</t>
        </is>
      </c>
      <c r="J149" s="8" t="inlineStr">
        <is>
          <t>Security Alert</t>
        </is>
      </c>
      <c r="K149" s="8" t="inlineStr">
        <is>
          <t>Intune</t>
        </is>
      </c>
      <c r="L149" s="8" t="inlineStr">
        <is>
          <t>Medium</t>
        </is>
      </c>
      <c r="M149" s="8" t="inlineStr">
        <is>
          <t>L1 Endpoint Support</t>
        </is>
      </c>
      <c r="N149" s="8" t="inlineStr">
        <is>
          <t>No</t>
        </is>
      </c>
      <c r="O149" s="8" t="inlineStr">
        <is>
          <t>Resolved</t>
        </is>
      </c>
      <c r="P149" s="10" t="n">
        <v>0.7</v>
      </c>
      <c r="Q149" s="10" t="n">
        <v>1.2</v>
      </c>
      <c r="R149" s="10" t="n">
        <v>8</v>
      </c>
      <c r="S149" s="8">
        <f>IF(OR(O149="Open",O149="In Progress"),"Pending",IF(Q149&lt;=R149,"Yes","No"))</f>
        <v/>
      </c>
      <c r="T149" s="8" t="inlineStr">
        <is>
          <t>Protection service stopped</t>
        </is>
      </c>
      <c r="U149" s="8" t="inlineStr">
        <is>
          <t>Restarted endpoint protection service and rechecked</t>
        </is>
      </c>
      <c r="V149" s="8" t="inlineStr">
        <is>
          <t>No</t>
        </is>
      </c>
    </row>
    <row r="150">
      <c r="A150" s="8" t="inlineStr">
        <is>
          <t>INC100148</t>
        </is>
      </c>
      <c r="B150" s="9" t="n">
        <v>46088.33333333334</v>
      </c>
      <c r="C150" s="8" t="inlineStr">
        <is>
          <t>Portal</t>
        </is>
      </c>
      <c r="D150" s="8" t="inlineStr">
        <is>
          <t>Meera Kapoor</t>
        </is>
      </c>
      <c r="E150" s="8" t="inlineStr">
        <is>
          <t>India</t>
        </is>
      </c>
      <c r="F150" s="8" t="inlineStr">
        <is>
          <t>Customer Support</t>
        </is>
      </c>
      <c r="G150" s="8" t="inlineStr">
        <is>
          <t>Desktop</t>
        </is>
      </c>
      <c r="H150" s="8" t="inlineStr">
        <is>
          <t>Unable to join Teams meeting from desktop app</t>
        </is>
      </c>
      <c r="I150" s="8" t="inlineStr">
        <is>
          <t>Software</t>
        </is>
      </c>
      <c r="J150" s="8" t="inlineStr">
        <is>
          <t>Teams Meeting</t>
        </is>
      </c>
      <c r="K150" s="8" t="inlineStr">
        <is>
          <t>Microsoft Teams</t>
        </is>
      </c>
      <c r="L150" s="8" t="inlineStr">
        <is>
          <t>Low</t>
        </is>
      </c>
      <c r="M150" s="8" t="inlineStr">
        <is>
          <t>L1 Service Desk</t>
        </is>
      </c>
      <c r="N150" s="8" t="inlineStr">
        <is>
          <t>No</t>
        </is>
      </c>
      <c r="O150" s="8" t="inlineStr">
        <is>
          <t>Resolved</t>
        </is>
      </c>
      <c r="P150" s="10" t="n">
        <v>3</v>
      </c>
      <c r="Q150" s="10" t="n">
        <v>21</v>
      </c>
      <c r="R150" s="10" t="n">
        <v>16</v>
      </c>
      <c r="S150" s="8">
        <f>IF(OR(O150="Open",O150="In Progress"),"Pending",IF(Q150&lt;=R150,"Yes","No"))</f>
        <v/>
      </c>
      <c r="T150" s="8" t="inlineStr">
        <is>
          <t>Client cache / audio stack issue</t>
        </is>
      </c>
      <c r="U150" s="8" t="inlineStr">
        <is>
          <t>Reset Teams app and checked device permissions</t>
        </is>
      </c>
      <c r="V150" s="8" t="inlineStr">
        <is>
          <t>Yes</t>
        </is>
      </c>
    </row>
    <row r="151">
      <c r="A151" s="8" t="inlineStr">
        <is>
          <t>INC100149</t>
        </is>
      </c>
      <c r="B151" s="9" t="n">
        <v>46077.60416666666</v>
      </c>
      <c r="C151" s="8" t="inlineStr">
        <is>
          <t>Portal</t>
        </is>
      </c>
      <c r="D151" s="8" t="inlineStr">
        <is>
          <t>Meera Iyer</t>
        </is>
      </c>
      <c r="E151" s="8" t="inlineStr">
        <is>
          <t>US</t>
        </is>
      </c>
      <c r="F151" s="8" t="inlineStr">
        <is>
          <t>Sales</t>
        </is>
      </c>
      <c r="G151" s="8" t="inlineStr">
        <is>
          <t>Desktop</t>
        </is>
      </c>
      <c r="H151" s="8" t="inlineStr">
        <is>
          <t>Role-based access required for finance application</t>
        </is>
      </c>
      <c r="I151" s="8" t="inlineStr">
        <is>
          <t>Access</t>
        </is>
      </c>
      <c r="J151" s="8" t="inlineStr">
        <is>
          <t>Role Assignment</t>
        </is>
      </c>
      <c r="K151" s="8" t="inlineStr">
        <is>
          <t>Azure AD</t>
        </is>
      </c>
      <c r="L151" s="8" t="inlineStr">
        <is>
          <t>Medium</t>
        </is>
      </c>
      <c r="M151" s="8" t="inlineStr">
        <is>
          <t>L1 Service Desk</t>
        </is>
      </c>
      <c r="N151" s="8" t="inlineStr">
        <is>
          <t>No</t>
        </is>
      </c>
      <c r="O151" s="8" t="inlineStr">
        <is>
          <t>Closed</t>
        </is>
      </c>
      <c r="P151" s="10" t="n">
        <v>0.2</v>
      </c>
      <c r="Q151" s="10" t="n">
        <v>6.9</v>
      </c>
      <c r="R151" s="10" t="n">
        <v>8</v>
      </c>
      <c r="S151" s="8">
        <f>IF(OR(O151="Open",O151="In Progress"),"Pending",IF(Q151&lt;=R151,"Yes","No"))</f>
        <v/>
      </c>
      <c r="T151" s="8" t="inlineStr">
        <is>
          <t>Missing app role assignment</t>
        </is>
      </c>
      <c r="U151" s="8" t="inlineStr">
        <is>
          <t>Assigned required role after approval</t>
        </is>
      </c>
      <c r="V151" s="8" t="inlineStr">
        <is>
          <t>No</t>
        </is>
      </c>
    </row>
    <row r="152">
      <c r="A152" s="8" t="inlineStr">
        <is>
          <t>INC100150</t>
        </is>
      </c>
      <c r="B152" s="9" t="n">
        <v>46070.625</v>
      </c>
      <c r="C152" s="8" t="inlineStr">
        <is>
          <t>Portal</t>
        </is>
      </c>
      <c r="D152" s="8" t="inlineStr">
        <is>
          <t>Divya Jain</t>
        </is>
      </c>
      <c r="E152" s="8" t="inlineStr">
        <is>
          <t>APAC</t>
        </is>
      </c>
      <c r="F152" s="8" t="inlineStr">
        <is>
          <t>IT</t>
        </is>
      </c>
      <c r="G152" s="8" t="inlineStr">
        <is>
          <t>iPad</t>
        </is>
      </c>
      <c r="H152" s="8" t="inlineStr">
        <is>
          <t>Device marked non-compliant in management portal</t>
        </is>
      </c>
      <c r="I152" s="8" t="inlineStr">
        <is>
          <t>Compliance</t>
        </is>
      </c>
      <c r="J152" s="8" t="inlineStr">
        <is>
          <t>Compliance Alert</t>
        </is>
      </c>
      <c r="K152" s="8" t="inlineStr">
        <is>
          <t>Intune</t>
        </is>
      </c>
      <c r="L152" s="8" t="inlineStr">
        <is>
          <t>High</t>
        </is>
      </c>
      <c r="M152" s="8" t="inlineStr">
        <is>
          <t>L1 Endpoint Support</t>
        </is>
      </c>
      <c r="N152" s="8" t="inlineStr">
        <is>
          <t>Yes</t>
        </is>
      </c>
      <c r="O152" s="8" t="inlineStr">
        <is>
          <t>Resolved</t>
        </is>
      </c>
      <c r="P152" s="10" t="n">
        <v>0.4</v>
      </c>
      <c r="Q152" s="10" t="n">
        <v>1.7</v>
      </c>
      <c r="R152" s="10" t="n">
        <v>4</v>
      </c>
      <c r="S152" s="8">
        <f>IF(OR(O152="Open",O152="In Progress"),"Pending",IF(Q152&lt;=R152,"Yes","No"))</f>
        <v/>
      </c>
      <c r="T152" s="8" t="inlineStr">
        <is>
          <t>Encryption / policy mismatch</t>
        </is>
      </c>
      <c r="U152" s="8" t="inlineStr">
        <is>
          <t>Triggered policy sync and updated compliance state</t>
        </is>
      </c>
      <c r="V152" s="8" t="inlineStr">
        <is>
          <t>No</t>
        </is>
      </c>
    </row>
    <row r="153">
      <c r="A153" s="8" t="inlineStr">
        <is>
          <t>INC100151</t>
        </is>
      </c>
      <c r="B153" s="9" t="n">
        <v>46088.71875</v>
      </c>
      <c r="C153" s="8" t="inlineStr">
        <is>
          <t>Portal</t>
        </is>
      </c>
      <c r="D153" s="8" t="inlineStr">
        <is>
          <t>Sanjay Joshi</t>
        </is>
      </c>
      <c r="E153" s="8" t="inlineStr">
        <is>
          <t>India</t>
        </is>
      </c>
      <c r="F153" s="8" t="inlineStr">
        <is>
          <t>Customer Support</t>
        </is>
      </c>
      <c r="G153" s="8" t="inlineStr">
        <is>
          <t>iPhone</t>
        </is>
      </c>
      <c r="H153" s="8" t="inlineStr">
        <is>
          <t>Access denied to SharePoint team site</t>
        </is>
      </c>
      <c r="I153" s="8" t="inlineStr">
        <is>
          <t>Access</t>
        </is>
      </c>
      <c r="J153" s="8" t="inlineStr">
        <is>
          <t>SharePoint Access</t>
        </is>
      </c>
      <c r="K153" s="8" t="inlineStr">
        <is>
          <t>SharePoint</t>
        </is>
      </c>
      <c r="L153" s="8" t="inlineStr">
        <is>
          <t>Medium</t>
        </is>
      </c>
      <c r="M153" s="8" t="inlineStr">
        <is>
          <t>L1 Collaboration Support</t>
        </is>
      </c>
      <c r="N153" s="8" t="inlineStr">
        <is>
          <t>Yes</t>
        </is>
      </c>
      <c r="O153" s="8" t="inlineStr">
        <is>
          <t>Resolved</t>
        </is>
      </c>
      <c r="P153" s="10" t="n">
        <v>1</v>
      </c>
      <c r="Q153" s="10" t="n">
        <v>3.5</v>
      </c>
      <c r="R153" s="10" t="n">
        <v>8</v>
      </c>
      <c r="S153" s="8">
        <f>IF(OR(O153="Open",O153="In Progress"),"Pending",IF(Q153&lt;=R153,"Yes","No"))</f>
        <v/>
      </c>
      <c r="T153" s="8" t="inlineStr">
        <is>
          <t>Permission group missing</t>
        </is>
      </c>
      <c r="U153" s="8" t="inlineStr">
        <is>
          <t>Added user to correct SharePoint group</t>
        </is>
      </c>
      <c r="V153" s="8" t="inlineStr">
        <is>
          <t>No</t>
        </is>
      </c>
    </row>
    <row r="154">
      <c r="A154" s="8" t="inlineStr">
        <is>
          <t>INC100152</t>
        </is>
      </c>
      <c r="B154" s="9" t="n">
        <v>46036.21875</v>
      </c>
      <c r="C154" s="8" t="inlineStr">
        <is>
          <t>Phone</t>
        </is>
      </c>
      <c r="D154" s="8" t="inlineStr">
        <is>
          <t>Priya Iyer</t>
        </is>
      </c>
      <c r="E154" s="8" t="inlineStr">
        <is>
          <t>APAC</t>
        </is>
      </c>
      <c r="F154" s="8" t="inlineStr">
        <is>
          <t>Finance</t>
        </is>
      </c>
      <c r="G154" s="8" t="inlineStr">
        <is>
          <t>Desktop</t>
        </is>
      </c>
      <c r="H154" s="8" t="inlineStr">
        <is>
          <t>Antivirus disabled warning on endpoint</t>
        </is>
      </c>
      <c r="I154" s="8" t="inlineStr">
        <is>
          <t>Compliance</t>
        </is>
      </c>
      <c r="J154" s="8" t="inlineStr">
        <is>
          <t>Security Alert</t>
        </is>
      </c>
      <c r="K154" s="8" t="inlineStr">
        <is>
          <t>Intune</t>
        </is>
      </c>
      <c r="L154" s="8" t="inlineStr">
        <is>
          <t>Medium</t>
        </is>
      </c>
      <c r="M154" s="8" t="inlineStr">
        <is>
          <t>L1 Endpoint Support</t>
        </is>
      </c>
      <c r="N154" s="8" t="inlineStr">
        <is>
          <t>No</t>
        </is>
      </c>
      <c r="O154" s="8" t="inlineStr">
        <is>
          <t>Resolved</t>
        </is>
      </c>
      <c r="P154" s="10" t="n">
        <v>1.3</v>
      </c>
      <c r="Q154" s="10" t="n">
        <v>6.4</v>
      </c>
      <c r="R154" s="10" t="n">
        <v>8</v>
      </c>
      <c r="S154" s="8">
        <f>IF(OR(O154="Open",O154="In Progress"),"Pending",IF(Q154&lt;=R154,"Yes","No"))</f>
        <v/>
      </c>
      <c r="T154" s="8" t="inlineStr">
        <is>
          <t>Protection service stopped</t>
        </is>
      </c>
      <c r="U154" s="8" t="inlineStr">
        <is>
          <t>Restarted endpoint protection service and rechecked</t>
        </is>
      </c>
      <c r="V154" s="8" t="inlineStr">
        <is>
          <t>No</t>
        </is>
      </c>
    </row>
    <row r="155">
      <c r="A155" s="8" t="inlineStr">
        <is>
          <t>INC100153</t>
        </is>
      </c>
      <c r="B155" s="9" t="n">
        <v>46091.58333333334</v>
      </c>
      <c r="C155" s="8" t="inlineStr">
        <is>
          <t>Portal</t>
        </is>
      </c>
      <c r="D155" s="8" t="inlineStr">
        <is>
          <t>Isha Joshi</t>
        </is>
      </c>
      <c r="E155" s="8" t="inlineStr">
        <is>
          <t>US</t>
        </is>
      </c>
      <c r="F155" s="8" t="inlineStr">
        <is>
          <t>Sales</t>
        </is>
      </c>
      <c r="G155" s="8" t="inlineStr">
        <is>
          <t>Laptop</t>
        </is>
      </c>
      <c r="H155" s="8" t="inlineStr">
        <is>
          <t>OTP not received for sign-in verification</t>
        </is>
      </c>
      <c r="I155" s="8" t="inlineStr">
        <is>
          <t>Access</t>
        </is>
      </c>
      <c r="J155" s="8" t="inlineStr">
        <is>
          <t>OTP Failure</t>
        </is>
      </c>
      <c r="K155" s="8" t="inlineStr">
        <is>
          <t>Okta</t>
        </is>
      </c>
      <c r="L155" s="8" t="inlineStr">
        <is>
          <t>High</t>
        </is>
      </c>
      <c r="M155" s="8" t="inlineStr">
        <is>
          <t>L1 IAM Support</t>
        </is>
      </c>
      <c r="N155" s="8" t="inlineStr">
        <is>
          <t>No</t>
        </is>
      </c>
      <c r="O155" s="8" t="inlineStr">
        <is>
          <t>Closed</t>
        </is>
      </c>
      <c r="P155" s="10" t="n">
        <v>1</v>
      </c>
      <c r="Q155" s="10" t="n">
        <v>1.9</v>
      </c>
      <c r="R155" s="10" t="n">
        <v>4</v>
      </c>
      <c r="S155" s="8">
        <f>IF(OR(O155="Open",O155="In Progress"),"Pending",IF(Q155&lt;=R155,"Yes","No"))</f>
        <v/>
      </c>
      <c r="T155" s="8" t="inlineStr">
        <is>
          <t>Outdated phone number</t>
        </is>
      </c>
      <c r="U155" s="8" t="inlineStr">
        <is>
          <t>Updated factor settings and retried verification</t>
        </is>
      </c>
      <c r="V155" s="8" t="inlineStr">
        <is>
          <t>Yes</t>
        </is>
      </c>
    </row>
    <row r="156">
      <c r="A156" s="8" t="inlineStr">
        <is>
          <t>INC100154</t>
        </is>
      </c>
      <c r="B156" s="9" t="n">
        <v>46072.11458333334</v>
      </c>
      <c r="C156" s="8" t="inlineStr">
        <is>
          <t>Email</t>
        </is>
      </c>
      <c r="D156" s="8" t="inlineStr">
        <is>
          <t>Sanjay Reddy</t>
        </is>
      </c>
      <c r="E156" s="8" t="inlineStr">
        <is>
          <t>APAC</t>
        </is>
      </c>
      <c r="F156" s="8" t="inlineStr">
        <is>
          <t>IT</t>
        </is>
      </c>
      <c r="G156" s="8" t="inlineStr">
        <is>
          <t>iPhone</t>
        </is>
      </c>
      <c r="H156" s="8" t="inlineStr">
        <is>
          <t>Software installation blocked on endpoint</t>
        </is>
      </c>
      <c r="I156" s="8" t="inlineStr">
        <is>
          <t>Software</t>
        </is>
      </c>
      <c r="J156" s="8" t="inlineStr">
        <is>
          <t>Installation Issue</t>
        </is>
      </c>
      <c r="K156" s="8" t="inlineStr">
        <is>
          <t>Windows</t>
        </is>
      </c>
      <c r="L156" s="8" t="inlineStr">
        <is>
          <t>Medium</t>
        </is>
      </c>
      <c r="M156" s="8" t="inlineStr">
        <is>
          <t>L1 Endpoint Support</t>
        </is>
      </c>
      <c r="N156" s="8" t="inlineStr">
        <is>
          <t>Yes</t>
        </is>
      </c>
      <c r="O156" s="8" t="inlineStr">
        <is>
          <t>Closed</t>
        </is>
      </c>
      <c r="P156" s="10" t="n">
        <v>1.1</v>
      </c>
      <c r="Q156" s="10" t="n">
        <v>6.7</v>
      </c>
      <c r="R156" s="10" t="n">
        <v>8</v>
      </c>
      <c r="S156" s="8">
        <f>IF(OR(O156="Open",O156="In Progress"),"Pending",IF(Q156&lt;=R156,"Yes","No"))</f>
        <v/>
      </c>
      <c r="T156" s="8" t="inlineStr">
        <is>
          <t>Admin rights required</t>
        </is>
      </c>
      <c r="U156" s="8" t="inlineStr">
        <is>
          <t>Installed package via approved elevated workflow</t>
        </is>
      </c>
      <c r="V156" s="8" t="inlineStr">
        <is>
          <t>No</t>
        </is>
      </c>
    </row>
    <row r="157">
      <c r="A157" s="8" t="inlineStr">
        <is>
          <t>INC100155</t>
        </is>
      </c>
      <c r="B157" s="9" t="n">
        <v>46075.57291666666</v>
      </c>
      <c r="C157" s="8" t="inlineStr">
        <is>
          <t>Email</t>
        </is>
      </c>
      <c r="D157" s="8" t="inlineStr">
        <is>
          <t>Ananya Patel</t>
        </is>
      </c>
      <c r="E157" s="8" t="inlineStr">
        <is>
          <t>US</t>
        </is>
      </c>
      <c r="F157" s="8" t="inlineStr">
        <is>
          <t>IT</t>
        </is>
      </c>
      <c r="G157" s="8" t="inlineStr">
        <is>
          <t>Desktop</t>
        </is>
      </c>
      <c r="H157" s="8" t="inlineStr">
        <is>
          <t>Password reset required after expiry</t>
        </is>
      </c>
      <c r="I157" s="8" t="inlineStr">
        <is>
          <t>Login</t>
        </is>
      </c>
      <c r="J157" s="8" t="inlineStr">
        <is>
          <t>Password Reset</t>
        </is>
      </c>
      <c r="K157" s="8" t="inlineStr">
        <is>
          <t>Active Directory</t>
        </is>
      </c>
      <c r="L157" s="8" t="inlineStr">
        <is>
          <t>High</t>
        </is>
      </c>
      <c r="M157" s="8" t="inlineStr">
        <is>
          <t>L1 Service Desk</t>
        </is>
      </c>
      <c r="N157" s="8" t="inlineStr">
        <is>
          <t>No</t>
        </is>
      </c>
      <c r="O157" s="8" t="inlineStr">
        <is>
          <t>Resolved</t>
        </is>
      </c>
      <c r="P157" s="10" t="n">
        <v>0.6</v>
      </c>
      <c r="Q157" s="10" t="n">
        <v>2.6</v>
      </c>
      <c r="R157" s="10" t="n">
        <v>4</v>
      </c>
      <c r="S157" s="8">
        <f>IF(OR(O157="Open",O157="In Progress"),"Pending",IF(Q157&lt;=R157,"Yes","No"))</f>
        <v/>
      </c>
      <c r="T157" s="8" t="inlineStr">
        <is>
          <t>Password policy expiry</t>
        </is>
      </c>
      <c r="U157" s="8" t="inlineStr">
        <is>
          <t>Reset password in AD and confirmed sign-in</t>
        </is>
      </c>
      <c r="V157" s="8" t="inlineStr">
        <is>
          <t>No</t>
        </is>
      </c>
    </row>
    <row r="158">
      <c r="A158" s="8" t="inlineStr">
        <is>
          <t>INC100156</t>
        </is>
      </c>
      <c r="B158" s="9" t="n">
        <v>46042.6875</v>
      </c>
      <c r="C158" s="8" t="inlineStr">
        <is>
          <t>Phone</t>
        </is>
      </c>
      <c r="D158" s="8" t="inlineStr">
        <is>
          <t>Neha Patel</t>
        </is>
      </c>
      <c r="E158" s="8" t="inlineStr">
        <is>
          <t>APAC</t>
        </is>
      </c>
      <c r="F158" s="8" t="inlineStr">
        <is>
          <t>Operations</t>
        </is>
      </c>
      <c r="G158" s="8" t="inlineStr">
        <is>
          <t>Thin Client</t>
        </is>
      </c>
      <c r="H158" s="8" t="inlineStr">
        <is>
          <t>OS outdated and pending critical patches</t>
        </is>
      </c>
      <c r="I158" s="8" t="inlineStr">
        <is>
          <t>Compliance</t>
        </is>
      </c>
      <c r="J158" s="8" t="inlineStr">
        <is>
          <t>Patch Compliance</t>
        </is>
      </c>
      <c r="K158" s="8" t="inlineStr">
        <is>
          <t>Intune</t>
        </is>
      </c>
      <c r="L158" s="8" t="inlineStr">
        <is>
          <t>Medium</t>
        </is>
      </c>
      <c r="M158" s="8" t="inlineStr">
        <is>
          <t>L1 Endpoint Support</t>
        </is>
      </c>
      <c r="N158" s="8" t="inlineStr">
        <is>
          <t>No</t>
        </is>
      </c>
      <c r="O158" s="8" t="inlineStr">
        <is>
          <t>Resolved</t>
        </is>
      </c>
      <c r="P158" s="10" t="n">
        <v>2.1</v>
      </c>
      <c r="Q158" s="10" t="n">
        <v>1.3</v>
      </c>
      <c r="R158" s="10" t="n">
        <v>8</v>
      </c>
      <c r="S158" s="8">
        <f>IF(OR(O158="Open",O158="In Progress"),"Pending",IF(Q158&lt;=R158,"Yes","No"))</f>
        <v/>
      </c>
      <c r="T158" s="8" t="inlineStr">
        <is>
          <t>Pending update ring</t>
        </is>
      </c>
      <c r="U158" s="8" t="inlineStr">
        <is>
          <t>Forced sync and scheduled patch installation</t>
        </is>
      </c>
      <c r="V158" s="8" t="inlineStr">
        <is>
          <t>No</t>
        </is>
      </c>
    </row>
    <row r="159">
      <c r="A159" s="8" t="inlineStr">
        <is>
          <t>INC100157</t>
        </is>
      </c>
      <c r="B159" s="9" t="n">
        <v>46040.05208333334</v>
      </c>
      <c r="C159" s="8" t="inlineStr">
        <is>
          <t>Email</t>
        </is>
      </c>
      <c r="D159" s="8" t="inlineStr">
        <is>
          <t>Rahul Kapoor</t>
        </is>
      </c>
      <c r="E159" s="8" t="inlineStr">
        <is>
          <t>US</t>
        </is>
      </c>
      <c r="F159" s="8" t="inlineStr">
        <is>
          <t>Finance</t>
        </is>
      </c>
      <c r="G159" s="8" t="inlineStr">
        <is>
          <t>iPhone</t>
        </is>
      </c>
      <c r="H159" s="8" t="inlineStr">
        <is>
          <t>Password reset required after expiry</t>
        </is>
      </c>
      <c r="I159" s="8" t="inlineStr">
        <is>
          <t>Login</t>
        </is>
      </c>
      <c r="J159" s="8" t="inlineStr">
        <is>
          <t>Password Reset</t>
        </is>
      </c>
      <c r="K159" s="8" t="inlineStr">
        <is>
          <t>Active Directory</t>
        </is>
      </c>
      <c r="L159" s="8" t="inlineStr">
        <is>
          <t>High</t>
        </is>
      </c>
      <c r="M159" s="8" t="inlineStr">
        <is>
          <t>L1 Service Desk</t>
        </is>
      </c>
      <c r="N159" s="8" t="inlineStr">
        <is>
          <t>No</t>
        </is>
      </c>
      <c r="O159" s="8" t="inlineStr">
        <is>
          <t>Closed</t>
        </is>
      </c>
      <c r="P159" s="10" t="n">
        <v>0.5</v>
      </c>
      <c r="Q159" s="10" t="n">
        <v>2.5</v>
      </c>
      <c r="R159" s="10" t="n">
        <v>4</v>
      </c>
      <c r="S159" s="8">
        <f>IF(OR(O159="Open",O159="In Progress"),"Pending",IF(Q159&lt;=R159,"Yes","No"))</f>
        <v/>
      </c>
      <c r="T159" s="8" t="inlineStr">
        <is>
          <t>Password policy expiry</t>
        </is>
      </c>
      <c r="U159" s="8" t="inlineStr">
        <is>
          <t>Reset password in AD and confirmed sign-in</t>
        </is>
      </c>
      <c r="V159" s="8" t="inlineStr">
        <is>
          <t>No</t>
        </is>
      </c>
    </row>
    <row r="160">
      <c r="A160" s="8" t="inlineStr">
        <is>
          <t>INC100158</t>
        </is>
      </c>
      <c r="B160" s="9" t="n">
        <v>46028.90625</v>
      </c>
      <c r="C160" s="8" t="inlineStr">
        <is>
          <t>Phone</t>
        </is>
      </c>
      <c r="D160" s="8" t="inlineStr">
        <is>
          <t>Aarav Sharma</t>
        </is>
      </c>
      <c r="E160" s="8" t="inlineStr">
        <is>
          <t>UK</t>
        </is>
      </c>
      <c r="F160" s="8" t="inlineStr">
        <is>
          <t>Procurement</t>
        </is>
      </c>
      <c r="G160" s="8" t="inlineStr">
        <is>
          <t>Thin Client</t>
        </is>
      </c>
      <c r="H160" s="8" t="inlineStr">
        <is>
          <t>OS outdated and pending critical patches</t>
        </is>
      </c>
      <c r="I160" s="8" t="inlineStr">
        <is>
          <t>Compliance</t>
        </is>
      </c>
      <c r="J160" s="8" t="inlineStr">
        <is>
          <t>Patch Compliance</t>
        </is>
      </c>
      <c r="K160" s="8" t="inlineStr">
        <is>
          <t>Intune</t>
        </is>
      </c>
      <c r="L160" s="8" t="inlineStr">
        <is>
          <t>High</t>
        </is>
      </c>
      <c r="M160" s="8" t="inlineStr">
        <is>
          <t>L1 Endpoint Support</t>
        </is>
      </c>
      <c r="N160" s="8" t="inlineStr">
        <is>
          <t>No</t>
        </is>
      </c>
      <c r="O160" s="8" t="inlineStr">
        <is>
          <t>Closed</t>
        </is>
      </c>
      <c r="P160" s="10" t="n">
        <v>1</v>
      </c>
      <c r="Q160" s="10" t="n">
        <v>4.9</v>
      </c>
      <c r="R160" s="10" t="n">
        <v>4</v>
      </c>
      <c r="S160" s="8">
        <f>IF(OR(O160="Open",O160="In Progress"),"Pending",IF(Q160&lt;=R160,"Yes","No"))</f>
        <v/>
      </c>
      <c r="T160" s="8" t="inlineStr">
        <is>
          <t>Pending update ring</t>
        </is>
      </c>
      <c r="U160" s="8" t="inlineStr">
        <is>
          <t>Forced sync and scheduled patch installation</t>
        </is>
      </c>
      <c r="V160" s="8" t="inlineStr">
        <is>
          <t>No</t>
        </is>
      </c>
    </row>
    <row r="161">
      <c r="A161" s="8" t="inlineStr">
        <is>
          <t>INC100159</t>
        </is>
      </c>
      <c r="B161" s="9" t="n">
        <v>46044.72916666666</v>
      </c>
      <c r="C161" s="8" t="inlineStr">
        <is>
          <t>Chat</t>
        </is>
      </c>
      <c r="D161" s="8" t="inlineStr">
        <is>
          <t>Divya Iyer</t>
        </is>
      </c>
      <c r="E161" s="8" t="inlineStr">
        <is>
          <t>APAC</t>
        </is>
      </c>
      <c r="F161" s="8" t="inlineStr">
        <is>
          <t>HR</t>
        </is>
      </c>
      <c r="G161" s="8" t="inlineStr">
        <is>
          <t>iPad</t>
        </is>
      </c>
      <c r="H161" s="8" t="inlineStr">
        <is>
          <t>Teams login failure after password change</t>
        </is>
      </c>
      <c r="I161" s="8" t="inlineStr">
        <is>
          <t>Software</t>
        </is>
      </c>
      <c r="J161" s="8" t="inlineStr">
        <is>
          <t>Teams Login</t>
        </is>
      </c>
      <c r="K161" s="8" t="inlineStr">
        <is>
          <t>Microsoft Teams</t>
        </is>
      </c>
      <c r="L161" s="8" t="inlineStr">
        <is>
          <t>Medium</t>
        </is>
      </c>
      <c r="M161" s="8" t="inlineStr">
        <is>
          <t>L1 Service Desk</t>
        </is>
      </c>
      <c r="N161" s="8" t="inlineStr">
        <is>
          <t>No</t>
        </is>
      </c>
      <c r="O161" s="8" t="inlineStr">
        <is>
          <t>Closed</t>
        </is>
      </c>
      <c r="P161" s="10" t="n">
        <v>1.5</v>
      </c>
      <c r="Q161" s="10" t="n">
        <v>7.1</v>
      </c>
      <c r="R161" s="10" t="n">
        <v>8</v>
      </c>
      <c r="S161" s="8">
        <f>IF(OR(O161="Open",O161="In Progress"),"Pending",IF(Q161&lt;=R161,"Yes","No"))</f>
        <v/>
      </c>
      <c r="T161" s="8" t="inlineStr">
        <is>
          <t>Cached credentials mismatch</t>
        </is>
      </c>
      <c r="U161" s="8" t="inlineStr">
        <is>
          <t>Cleared Teams cache and reauthenticated</t>
        </is>
      </c>
      <c r="V161" s="8" t="inlineStr">
        <is>
          <t>Yes</t>
        </is>
      </c>
    </row>
    <row r="162">
      <c r="A162" s="8" t="inlineStr">
        <is>
          <t>INC100160</t>
        </is>
      </c>
      <c r="B162" s="9" t="n">
        <v>46062.94791666666</v>
      </c>
      <c r="C162" s="8" t="inlineStr">
        <is>
          <t>Phone</t>
        </is>
      </c>
      <c r="D162" s="8" t="inlineStr">
        <is>
          <t>Karthik Das</t>
        </is>
      </c>
      <c r="E162" s="8" t="inlineStr">
        <is>
          <t>APAC</t>
        </is>
      </c>
      <c r="F162" s="8" t="inlineStr">
        <is>
          <t>Finance</t>
        </is>
      </c>
      <c r="G162" s="8" t="inlineStr">
        <is>
          <t>iPhone</t>
        </is>
      </c>
      <c r="H162" s="8" t="inlineStr">
        <is>
          <t>User account locked after failed logins</t>
        </is>
      </c>
      <c r="I162" s="8" t="inlineStr">
        <is>
          <t>Login</t>
        </is>
      </c>
      <c r="J162" s="8" t="inlineStr">
        <is>
          <t>Account Unlock</t>
        </is>
      </c>
      <c r="K162" s="8" t="inlineStr">
        <is>
          <t>Active Directory</t>
        </is>
      </c>
      <c r="L162" s="8" t="inlineStr">
        <is>
          <t>High</t>
        </is>
      </c>
      <c r="M162" s="8" t="inlineStr">
        <is>
          <t>L1 Service Desk</t>
        </is>
      </c>
      <c r="N162" s="8" t="inlineStr">
        <is>
          <t>No</t>
        </is>
      </c>
      <c r="O162" s="8" t="inlineStr">
        <is>
          <t>Resolved</t>
        </is>
      </c>
      <c r="P162" s="10" t="n">
        <v>0.2</v>
      </c>
      <c r="Q162" s="10" t="n">
        <v>3.2</v>
      </c>
      <c r="R162" s="10" t="n">
        <v>4</v>
      </c>
      <c r="S162" s="8">
        <f>IF(OR(O162="Open",O162="In Progress"),"Pending",IF(Q162&lt;=R162,"Yes","No"))</f>
        <v/>
      </c>
      <c r="T162" s="8" t="inlineStr">
        <is>
          <t>Repeated failed attempts</t>
        </is>
      </c>
      <c r="U162" s="8" t="inlineStr">
        <is>
          <t>Unlocked account and advised correct password usage</t>
        </is>
      </c>
      <c r="V162" s="8" t="inlineStr">
        <is>
          <t>Yes</t>
        </is>
      </c>
    </row>
    <row r="163">
      <c r="A163" s="8" t="inlineStr">
        <is>
          <t>INC100161</t>
        </is>
      </c>
      <c r="B163" s="9" t="n">
        <v>46047.92708333334</v>
      </c>
      <c r="C163" s="8" t="inlineStr">
        <is>
          <t>Phone</t>
        </is>
      </c>
      <c r="D163" s="8" t="inlineStr">
        <is>
          <t>Tarun Nair</t>
        </is>
      </c>
      <c r="E163" s="8" t="inlineStr">
        <is>
          <t>UK</t>
        </is>
      </c>
      <c r="F163" s="8" t="inlineStr">
        <is>
          <t>Finance</t>
        </is>
      </c>
      <c r="G163" s="8" t="inlineStr">
        <is>
          <t>iPhone</t>
        </is>
      </c>
      <c r="H163" s="8" t="inlineStr">
        <is>
          <t>Account needs disablement after employee exit</t>
        </is>
      </c>
      <c r="I163" s="8" t="inlineStr">
        <is>
          <t>Access</t>
        </is>
      </c>
      <c r="J163" s="8" t="inlineStr">
        <is>
          <t>Offboarding</t>
        </is>
      </c>
      <c r="K163" s="8" t="inlineStr">
        <is>
          <t>Active Directory</t>
        </is>
      </c>
      <c r="L163" s="8" t="inlineStr">
        <is>
          <t>High</t>
        </is>
      </c>
      <c r="M163" s="8" t="inlineStr">
        <is>
          <t>L1 Service Desk</t>
        </is>
      </c>
      <c r="N163" s="8" t="inlineStr">
        <is>
          <t>No</t>
        </is>
      </c>
      <c r="O163" s="8" t="inlineStr">
        <is>
          <t>Closed</t>
        </is>
      </c>
      <c r="P163" s="10" t="n">
        <v>1.1</v>
      </c>
      <c r="Q163" s="10" t="n">
        <v>8.699999999999999</v>
      </c>
      <c r="R163" s="10" t="n">
        <v>4</v>
      </c>
      <c r="S163" s="8">
        <f>IF(OR(O163="Open",O163="In Progress"),"Pending",IF(Q163&lt;=R163,"Yes","No"))</f>
        <v/>
      </c>
      <c r="T163" s="8" t="inlineStr">
        <is>
          <t>Offboarding request received</t>
        </is>
      </c>
      <c r="U163" s="8" t="inlineStr">
        <is>
          <t>Disabled account and removed active sessions</t>
        </is>
      </c>
      <c r="V163" s="8" t="inlineStr">
        <is>
          <t>Yes</t>
        </is>
      </c>
    </row>
    <row r="164">
      <c r="A164" s="8" t="inlineStr">
        <is>
          <t>INC100162</t>
        </is>
      </c>
      <c r="B164" s="9" t="n">
        <v>46078.42708333334</v>
      </c>
      <c r="C164" s="8" t="inlineStr">
        <is>
          <t>Email</t>
        </is>
      </c>
      <c r="D164" s="8" t="inlineStr">
        <is>
          <t>Karthik Joshi</t>
        </is>
      </c>
      <c r="E164" s="8" t="inlineStr">
        <is>
          <t>India</t>
        </is>
      </c>
      <c r="F164" s="8" t="inlineStr">
        <is>
          <t>Procurement</t>
        </is>
      </c>
      <c r="G164" s="8" t="inlineStr">
        <is>
          <t>iPhone</t>
        </is>
      </c>
      <c r="H164" s="8" t="inlineStr">
        <is>
          <t>Password reset required after expiry</t>
        </is>
      </c>
      <c r="I164" s="8" t="inlineStr">
        <is>
          <t>Login</t>
        </is>
      </c>
      <c r="J164" s="8" t="inlineStr">
        <is>
          <t>Password Reset</t>
        </is>
      </c>
      <c r="K164" s="8" t="inlineStr">
        <is>
          <t>Active Directory</t>
        </is>
      </c>
      <c r="L164" s="8" t="inlineStr">
        <is>
          <t>High</t>
        </is>
      </c>
      <c r="M164" s="8" t="inlineStr">
        <is>
          <t>L1 Service Desk</t>
        </is>
      </c>
      <c r="N164" s="8" t="inlineStr">
        <is>
          <t>No</t>
        </is>
      </c>
      <c r="O164" s="8" t="inlineStr">
        <is>
          <t>Resolved</t>
        </is>
      </c>
      <c r="P164" s="10" t="n">
        <v>0.7</v>
      </c>
      <c r="Q164" s="10" t="n">
        <v>3.2</v>
      </c>
      <c r="R164" s="10" t="n">
        <v>4</v>
      </c>
      <c r="S164" s="8">
        <f>IF(OR(O164="Open",O164="In Progress"),"Pending",IF(Q164&lt;=R164,"Yes","No"))</f>
        <v/>
      </c>
      <c r="T164" s="8" t="inlineStr">
        <is>
          <t>Password policy expiry</t>
        </is>
      </c>
      <c r="U164" s="8" t="inlineStr">
        <is>
          <t>Reset password in AD and confirmed sign-in</t>
        </is>
      </c>
      <c r="V164" s="8" t="inlineStr">
        <is>
          <t>Yes</t>
        </is>
      </c>
    </row>
    <row r="165">
      <c r="A165" s="8" t="inlineStr">
        <is>
          <t>INC100163</t>
        </is>
      </c>
      <c r="B165" s="9" t="n">
        <v>46040.25</v>
      </c>
      <c r="C165" s="8" t="inlineStr">
        <is>
          <t>Phone</t>
        </is>
      </c>
      <c r="D165" s="8" t="inlineStr">
        <is>
          <t>Manoj Kapoor</t>
        </is>
      </c>
      <c r="E165" s="8" t="inlineStr">
        <is>
          <t>UK</t>
        </is>
      </c>
      <c r="F165" s="8" t="inlineStr">
        <is>
          <t>Finance</t>
        </is>
      </c>
      <c r="G165" s="8" t="inlineStr">
        <is>
          <t>iPad</t>
        </is>
      </c>
      <c r="H165" s="8" t="inlineStr">
        <is>
          <t>SharePoint file sync failing on laptop</t>
        </is>
      </c>
      <c r="I165" s="8" t="inlineStr">
        <is>
          <t>Software</t>
        </is>
      </c>
      <c r="J165" s="8" t="inlineStr">
        <is>
          <t>Sync Issue</t>
        </is>
      </c>
      <c r="K165" s="8" t="inlineStr">
        <is>
          <t>SharePoint</t>
        </is>
      </c>
      <c r="L165" s="8" t="inlineStr">
        <is>
          <t>Low</t>
        </is>
      </c>
      <c r="M165" s="8" t="inlineStr">
        <is>
          <t>L1 Collaboration Support</t>
        </is>
      </c>
      <c r="N165" s="8" t="inlineStr">
        <is>
          <t>Yes</t>
        </is>
      </c>
      <c r="O165" s="8" t="inlineStr">
        <is>
          <t>Resolved</t>
        </is>
      </c>
      <c r="P165" s="10" t="n">
        <v>3.4</v>
      </c>
      <c r="Q165" s="10" t="n">
        <v>8.199999999999999</v>
      </c>
      <c r="R165" s="10" t="n">
        <v>16</v>
      </c>
      <c r="S165" s="8">
        <f>IF(OR(O165="Open",O165="In Progress"),"Pending",IF(Q165&lt;=R165,"Yes","No"))</f>
        <v/>
      </c>
      <c r="T165" s="8" t="inlineStr">
        <is>
          <t>OneDrive sync conflict</t>
        </is>
      </c>
      <c r="U165" s="8" t="inlineStr">
        <is>
          <t>Reset sync client and re-linked library</t>
        </is>
      </c>
      <c r="V165" s="8" t="inlineStr">
        <is>
          <t>No</t>
        </is>
      </c>
    </row>
    <row r="166">
      <c r="A166" s="8" t="inlineStr">
        <is>
          <t>INC100164</t>
        </is>
      </c>
      <c r="B166" s="9" t="n">
        <v>46030.85416666666</v>
      </c>
      <c r="C166" s="8" t="inlineStr">
        <is>
          <t>Portal</t>
        </is>
      </c>
      <c r="D166" s="8" t="inlineStr">
        <is>
          <t>Sanjay Nair</t>
        </is>
      </c>
      <c r="E166" s="8" t="inlineStr">
        <is>
          <t>US</t>
        </is>
      </c>
      <c r="F166" s="8" t="inlineStr">
        <is>
          <t>IT</t>
        </is>
      </c>
      <c r="G166" s="8" t="inlineStr">
        <is>
          <t>iPad</t>
        </is>
      </c>
      <c r="H166" s="8" t="inlineStr">
        <is>
          <t>SharePoint file sync failing on laptop</t>
        </is>
      </c>
      <c r="I166" s="8" t="inlineStr">
        <is>
          <t>Software</t>
        </is>
      </c>
      <c r="J166" s="8" t="inlineStr">
        <is>
          <t>Sync Issue</t>
        </is>
      </c>
      <c r="K166" s="8" t="inlineStr">
        <is>
          <t>SharePoint</t>
        </is>
      </c>
      <c r="L166" s="8" t="inlineStr">
        <is>
          <t>Medium</t>
        </is>
      </c>
      <c r="M166" s="8" t="inlineStr">
        <is>
          <t>L1 Collaboration Support</t>
        </is>
      </c>
      <c r="N166" s="8" t="inlineStr">
        <is>
          <t>No</t>
        </is>
      </c>
      <c r="O166" s="8" t="inlineStr">
        <is>
          <t>Resolved</t>
        </is>
      </c>
      <c r="P166" s="10" t="n">
        <v>1.7</v>
      </c>
      <c r="Q166" s="10" t="n">
        <v>11.3</v>
      </c>
      <c r="R166" s="10" t="n">
        <v>8</v>
      </c>
      <c r="S166" s="8">
        <f>IF(OR(O166="Open",O166="In Progress"),"Pending",IF(Q166&lt;=R166,"Yes","No"))</f>
        <v/>
      </c>
      <c r="T166" s="8" t="inlineStr">
        <is>
          <t>OneDrive sync conflict</t>
        </is>
      </c>
      <c r="U166" s="8" t="inlineStr">
        <is>
          <t>Reset sync client and re-linked library</t>
        </is>
      </c>
      <c r="V166" s="8" t="inlineStr">
        <is>
          <t>Yes</t>
        </is>
      </c>
    </row>
    <row r="167">
      <c r="A167" s="8" t="inlineStr">
        <is>
          <t>INC100165</t>
        </is>
      </c>
      <c r="B167" s="9" t="n">
        <v>46051.17708333334</v>
      </c>
      <c r="C167" s="8" t="inlineStr">
        <is>
          <t>Chat</t>
        </is>
      </c>
      <c r="D167" s="8" t="inlineStr">
        <is>
          <t>Karthik Kapoor</t>
        </is>
      </c>
      <c r="E167" s="8" t="inlineStr">
        <is>
          <t>US</t>
        </is>
      </c>
      <c r="F167" s="8" t="inlineStr">
        <is>
          <t>Customer Support</t>
        </is>
      </c>
      <c r="G167" s="8" t="inlineStr">
        <is>
          <t>Desktop</t>
        </is>
      </c>
      <c r="H167" s="8" t="inlineStr">
        <is>
          <t>VPN not connecting from remote location</t>
        </is>
      </c>
      <c r="I167" s="8" t="inlineStr">
        <is>
          <t>Access</t>
        </is>
      </c>
      <c r="J167" s="8" t="inlineStr">
        <is>
          <t>VPN Access</t>
        </is>
      </c>
      <c r="K167" s="8" t="inlineStr">
        <is>
          <t>VPN</t>
        </is>
      </c>
      <c r="L167" s="8" t="inlineStr">
        <is>
          <t>High</t>
        </is>
      </c>
      <c r="M167" s="8" t="inlineStr">
        <is>
          <t>L1 Service Desk</t>
        </is>
      </c>
      <c r="N167" s="8" t="inlineStr">
        <is>
          <t>No</t>
        </is>
      </c>
      <c r="O167" s="8" t="inlineStr">
        <is>
          <t>Resolved</t>
        </is>
      </c>
      <c r="P167" s="10" t="n">
        <v>0.2</v>
      </c>
      <c r="Q167" s="10" t="n">
        <v>3.4</v>
      </c>
      <c r="R167" s="10" t="n">
        <v>4</v>
      </c>
      <c r="S167" s="8">
        <f>IF(OR(O167="Open",O167="In Progress"),"Pending",IF(Q167&lt;=R167,"Yes","No"))</f>
        <v/>
      </c>
      <c r="T167" s="8" t="inlineStr">
        <is>
          <t>VPN client profile corruption</t>
        </is>
      </c>
      <c r="U167" s="8" t="inlineStr">
        <is>
          <t>Reconfigured VPN profile and validated connection</t>
        </is>
      </c>
      <c r="V167" s="8" t="inlineStr">
        <is>
          <t>Yes</t>
        </is>
      </c>
    </row>
    <row r="168">
      <c r="A168" s="8" t="inlineStr">
        <is>
          <t>INC100166</t>
        </is>
      </c>
      <c r="B168" s="9" t="n">
        <v>46044.32291666666</v>
      </c>
      <c r="C168" s="8" t="inlineStr">
        <is>
          <t>Phone</t>
        </is>
      </c>
      <c r="D168" s="8" t="inlineStr">
        <is>
          <t>Sanjay Das</t>
        </is>
      </c>
      <c r="E168" s="8" t="inlineStr">
        <is>
          <t>APAC</t>
        </is>
      </c>
      <c r="F168" s="8" t="inlineStr">
        <is>
          <t>HR</t>
        </is>
      </c>
      <c r="G168" s="8" t="inlineStr">
        <is>
          <t>Laptop</t>
        </is>
      </c>
      <c r="H168" s="8" t="inlineStr">
        <is>
          <t>Teams login failure after password change</t>
        </is>
      </c>
      <c r="I168" s="8" t="inlineStr">
        <is>
          <t>Software</t>
        </is>
      </c>
      <c r="J168" s="8" t="inlineStr">
        <is>
          <t>Teams Login</t>
        </is>
      </c>
      <c r="K168" s="8" t="inlineStr">
        <is>
          <t>Microsoft Teams</t>
        </is>
      </c>
      <c r="L168" s="8" t="inlineStr">
        <is>
          <t>Medium</t>
        </is>
      </c>
      <c r="M168" s="8" t="inlineStr">
        <is>
          <t>L1 Service Desk</t>
        </is>
      </c>
      <c r="N168" s="8" t="inlineStr">
        <is>
          <t>Yes</t>
        </is>
      </c>
      <c r="O168" s="8" t="inlineStr">
        <is>
          <t>Closed</t>
        </is>
      </c>
      <c r="P168" s="10" t="n">
        <v>1.4</v>
      </c>
      <c r="Q168" s="10" t="n">
        <v>7</v>
      </c>
      <c r="R168" s="10" t="n">
        <v>8</v>
      </c>
      <c r="S168" s="8">
        <f>IF(OR(O168="Open",O168="In Progress"),"Pending",IF(Q168&lt;=R168,"Yes","No"))</f>
        <v/>
      </c>
      <c r="T168" s="8" t="inlineStr">
        <is>
          <t>Cached credentials mismatch</t>
        </is>
      </c>
      <c r="U168" s="8" t="inlineStr">
        <is>
          <t>Cleared Teams cache and reauthenticated</t>
        </is>
      </c>
      <c r="V168" s="8" t="inlineStr">
        <is>
          <t>No</t>
        </is>
      </c>
    </row>
    <row r="169">
      <c r="A169" s="8" t="inlineStr">
        <is>
          <t>INC100167</t>
        </is>
      </c>
      <c r="B169" s="9" t="n">
        <v>46063.65625</v>
      </c>
      <c r="C169" s="8" t="inlineStr">
        <is>
          <t>Portal</t>
        </is>
      </c>
      <c r="D169" s="8" t="inlineStr">
        <is>
          <t>Rahul Kapoor</t>
        </is>
      </c>
      <c r="E169" s="8" t="inlineStr">
        <is>
          <t>US</t>
        </is>
      </c>
      <c r="F169" s="8" t="inlineStr">
        <is>
          <t>Operations</t>
        </is>
      </c>
      <c r="G169" s="8" t="inlineStr">
        <is>
          <t>Laptop</t>
        </is>
      </c>
      <c r="H169" s="8" t="inlineStr">
        <is>
          <t>Password reset required after expiry</t>
        </is>
      </c>
      <c r="I169" s="8" t="inlineStr">
        <is>
          <t>Login</t>
        </is>
      </c>
      <c r="J169" s="8" t="inlineStr">
        <is>
          <t>Password Reset</t>
        </is>
      </c>
      <c r="K169" s="8" t="inlineStr">
        <is>
          <t>Active Directory</t>
        </is>
      </c>
      <c r="L169" s="8" t="inlineStr">
        <is>
          <t>High</t>
        </is>
      </c>
      <c r="M169" s="8" t="inlineStr">
        <is>
          <t>L1 Service Desk</t>
        </is>
      </c>
      <c r="N169" s="8" t="inlineStr">
        <is>
          <t>No</t>
        </is>
      </c>
      <c r="O169" s="8" t="inlineStr">
        <is>
          <t>Resolved</t>
        </is>
      </c>
      <c r="P169" s="10" t="n">
        <v>0.4</v>
      </c>
      <c r="Q169" s="10" t="n">
        <v>5.3</v>
      </c>
      <c r="R169" s="10" t="n">
        <v>4</v>
      </c>
      <c r="S169" s="8">
        <f>IF(OR(O169="Open",O169="In Progress"),"Pending",IF(Q169&lt;=R169,"Yes","No"))</f>
        <v/>
      </c>
      <c r="T169" s="8" t="inlineStr">
        <is>
          <t>Password policy expiry</t>
        </is>
      </c>
      <c r="U169" s="8" t="inlineStr">
        <is>
          <t>Reset password in AD and confirmed sign-in</t>
        </is>
      </c>
      <c r="V169" s="8" t="inlineStr">
        <is>
          <t>Yes</t>
        </is>
      </c>
    </row>
    <row r="170">
      <c r="A170" s="8" t="inlineStr">
        <is>
          <t>INC100168</t>
        </is>
      </c>
      <c r="B170" s="9" t="n">
        <v>46069.625</v>
      </c>
      <c r="C170" s="8" t="inlineStr">
        <is>
          <t>Email</t>
        </is>
      </c>
      <c r="D170" s="8" t="inlineStr">
        <is>
          <t>Divya Iyer</t>
        </is>
      </c>
      <c r="E170" s="8" t="inlineStr">
        <is>
          <t>US</t>
        </is>
      </c>
      <c r="F170" s="8" t="inlineStr">
        <is>
          <t>Legal</t>
        </is>
      </c>
      <c r="G170" s="8" t="inlineStr">
        <is>
          <t>iPad</t>
        </is>
      </c>
      <c r="H170" s="8" t="inlineStr">
        <is>
          <t>Device marked non-compliant in management portal</t>
        </is>
      </c>
      <c r="I170" s="8" t="inlineStr">
        <is>
          <t>Compliance</t>
        </is>
      </c>
      <c r="J170" s="8" t="inlineStr">
        <is>
          <t>Compliance Alert</t>
        </is>
      </c>
      <c r="K170" s="8" t="inlineStr">
        <is>
          <t>Intune</t>
        </is>
      </c>
      <c r="L170" s="8" t="inlineStr">
        <is>
          <t>Medium</t>
        </is>
      </c>
      <c r="M170" s="8" t="inlineStr">
        <is>
          <t>L1 Endpoint Support</t>
        </is>
      </c>
      <c r="N170" s="8" t="inlineStr">
        <is>
          <t>Yes</t>
        </is>
      </c>
      <c r="O170" s="8" t="inlineStr">
        <is>
          <t>Resolved</t>
        </is>
      </c>
      <c r="P170" s="10" t="n">
        <v>0.4</v>
      </c>
      <c r="Q170" s="10" t="n">
        <v>0.9</v>
      </c>
      <c r="R170" s="10" t="n">
        <v>8</v>
      </c>
      <c r="S170" s="8">
        <f>IF(OR(O170="Open",O170="In Progress"),"Pending",IF(Q170&lt;=R170,"Yes","No"))</f>
        <v/>
      </c>
      <c r="T170" s="8" t="inlineStr">
        <is>
          <t>Encryption / policy mismatch</t>
        </is>
      </c>
      <c r="U170" s="8" t="inlineStr">
        <is>
          <t>Triggered policy sync and updated compliance state</t>
        </is>
      </c>
      <c r="V170" s="8" t="inlineStr">
        <is>
          <t>No</t>
        </is>
      </c>
    </row>
    <row r="171">
      <c r="A171" s="8" t="inlineStr">
        <is>
          <t>INC100169</t>
        </is>
      </c>
      <c r="B171" s="9" t="n">
        <v>46065.89583333334</v>
      </c>
      <c r="C171" s="8" t="inlineStr">
        <is>
          <t>Chat</t>
        </is>
      </c>
      <c r="D171" s="8" t="inlineStr">
        <is>
          <t>Pooja Rao</t>
        </is>
      </c>
      <c r="E171" s="8" t="inlineStr">
        <is>
          <t>US</t>
        </is>
      </c>
      <c r="F171" s="8" t="inlineStr">
        <is>
          <t>Procurement</t>
        </is>
      </c>
      <c r="G171" s="8" t="inlineStr">
        <is>
          <t>Thin Client</t>
        </is>
      </c>
      <c r="H171" s="8" t="inlineStr">
        <is>
          <t>SharePoint file sync failing on laptop</t>
        </is>
      </c>
      <c r="I171" s="8" t="inlineStr">
        <is>
          <t>Software</t>
        </is>
      </c>
      <c r="J171" s="8" t="inlineStr">
        <is>
          <t>Sync Issue</t>
        </is>
      </c>
      <c r="K171" s="8" t="inlineStr">
        <is>
          <t>SharePoint</t>
        </is>
      </c>
      <c r="L171" s="8" t="inlineStr">
        <is>
          <t>Medium</t>
        </is>
      </c>
      <c r="M171" s="8" t="inlineStr">
        <is>
          <t>L1 Collaboration Support</t>
        </is>
      </c>
      <c r="N171" s="8" t="inlineStr">
        <is>
          <t>No</t>
        </is>
      </c>
      <c r="O171" s="8" t="inlineStr">
        <is>
          <t>Resolved</t>
        </is>
      </c>
      <c r="P171" s="10" t="n">
        <v>1.2</v>
      </c>
      <c r="Q171" s="10" t="n">
        <v>1.9</v>
      </c>
      <c r="R171" s="10" t="n">
        <v>8</v>
      </c>
      <c r="S171" s="8">
        <f>IF(OR(O171="Open",O171="In Progress"),"Pending",IF(Q171&lt;=R171,"Yes","No"))</f>
        <v/>
      </c>
      <c r="T171" s="8" t="inlineStr">
        <is>
          <t>OneDrive sync conflict</t>
        </is>
      </c>
      <c r="U171" s="8" t="inlineStr">
        <is>
          <t>Reset sync client and re-linked library</t>
        </is>
      </c>
      <c r="V171" s="8" t="inlineStr">
        <is>
          <t>Yes</t>
        </is>
      </c>
    </row>
    <row r="172">
      <c r="A172" s="8" t="inlineStr">
        <is>
          <t>INC100170</t>
        </is>
      </c>
      <c r="B172" s="9" t="n">
        <v>46095.05208333334</v>
      </c>
      <c r="C172" s="8" t="inlineStr">
        <is>
          <t>Chat</t>
        </is>
      </c>
      <c r="D172" s="8" t="inlineStr">
        <is>
          <t>Ravi Gupta</t>
        </is>
      </c>
      <c r="E172" s="8" t="inlineStr">
        <is>
          <t>UK</t>
        </is>
      </c>
      <c r="F172" s="8" t="inlineStr">
        <is>
          <t>Customer Support</t>
        </is>
      </c>
      <c r="G172" s="8" t="inlineStr">
        <is>
          <t>Laptop</t>
        </is>
      </c>
      <c r="H172" s="8" t="inlineStr">
        <is>
          <t>OS outdated and pending critical patches</t>
        </is>
      </c>
      <c r="I172" s="8" t="inlineStr">
        <is>
          <t>Compliance</t>
        </is>
      </c>
      <c r="J172" s="8" t="inlineStr">
        <is>
          <t>Patch Compliance</t>
        </is>
      </c>
      <c r="K172" s="8" t="inlineStr">
        <is>
          <t>Intune</t>
        </is>
      </c>
      <c r="L172" s="8" t="inlineStr">
        <is>
          <t>High</t>
        </is>
      </c>
      <c r="M172" s="8" t="inlineStr">
        <is>
          <t>L1 Endpoint Support</t>
        </is>
      </c>
      <c r="N172" s="8" t="inlineStr">
        <is>
          <t>No</t>
        </is>
      </c>
      <c r="O172" s="8" t="inlineStr">
        <is>
          <t>Resolved</t>
        </is>
      </c>
      <c r="P172" s="10" t="n">
        <v>0.8</v>
      </c>
      <c r="Q172" s="10" t="n">
        <v>2.3</v>
      </c>
      <c r="R172" s="10" t="n">
        <v>4</v>
      </c>
      <c r="S172" s="8">
        <f>IF(OR(O172="Open",O172="In Progress"),"Pending",IF(Q172&lt;=R172,"Yes","No"))</f>
        <v/>
      </c>
      <c r="T172" s="8" t="inlineStr">
        <is>
          <t>Pending update ring</t>
        </is>
      </c>
      <c r="U172" s="8" t="inlineStr">
        <is>
          <t>Forced sync and scheduled patch installation</t>
        </is>
      </c>
      <c r="V172" s="8" t="inlineStr">
        <is>
          <t>No</t>
        </is>
      </c>
    </row>
    <row r="173">
      <c r="A173" s="8" t="inlineStr">
        <is>
          <t>INC100171</t>
        </is>
      </c>
      <c r="B173" s="9" t="n">
        <v>46067.71875</v>
      </c>
      <c r="C173" s="8" t="inlineStr">
        <is>
          <t>Portal</t>
        </is>
      </c>
      <c r="D173" s="8" t="inlineStr">
        <is>
          <t>Sanjay Verma</t>
        </is>
      </c>
      <c r="E173" s="8" t="inlineStr">
        <is>
          <t>UK</t>
        </is>
      </c>
      <c r="F173" s="8" t="inlineStr">
        <is>
          <t>HR</t>
        </is>
      </c>
      <c r="G173" s="8" t="inlineStr">
        <is>
          <t>iPhone</t>
        </is>
      </c>
      <c r="H173" s="8" t="inlineStr">
        <is>
          <t>Password reset required after expiry</t>
        </is>
      </c>
      <c r="I173" s="8" t="inlineStr">
        <is>
          <t>Login</t>
        </is>
      </c>
      <c r="J173" s="8" t="inlineStr">
        <is>
          <t>Password Reset</t>
        </is>
      </c>
      <c r="K173" s="8" t="inlineStr">
        <is>
          <t>Active Directory</t>
        </is>
      </c>
      <c r="L173" s="8" t="inlineStr">
        <is>
          <t>Medium</t>
        </is>
      </c>
      <c r="M173" s="8" t="inlineStr">
        <is>
          <t>L1 Service Desk</t>
        </is>
      </c>
      <c r="N173" s="8" t="inlineStr">
        <is>
          <t>No</t>
        </is>
      </c>
      <c r="O173" s="8" t="inlineStr">
        <is>
          <t>Closed</t>
        </is>
      </c>
      <c r="P173" s="10" t="n">
        <v>0.4</v>
      </c>
      <c r="Q173" s="10" t="n">
        <v>2.7</v>
      </c>
      <c r="R173" s="10" t="n">
        <v>8</v>
      </c>
      <c r="S173" s="8">
        <f>IF(OR(O173="Open",O173="In Progress"),"Pending",IF(Q173&lt;=R173,"Yes","No"))</f>
        <v/>
      </c>
      <c r="T173" s="8" t="inlineStr">
        <is>
          <t>Password policy expiry</t>
        </is>
      </c>
      <c r="U173" s="8" t="inlineStr">
        <is>
          <t>Reset password in AD and confirmed sign-in</t>
        </is>
      </c>
      <c r="V173" s="8" t="inlineStr">
        <is>
          <t>No</t>
        </is>
      </c>
    </row>
    <row r="174">
      <c r="A174" s="8" t="inlineStr">
        <is>
          <t>INC100172</t>
        </is>
      </c>
      <c r="B174" s="9" t="n">
        <v>46066.65625</v>
      </c>
      <c r="C174" s="8" t="inlineStr">
        <is>
          <t>Chat</t>
        </is>
      </c>
      <c r="D174" s="8" t="inlineStr">
        <is>
          <t>Tarun Gupta</t>
        </is>
      </c>
      <c r="E174" s="8" t="inlineStr">
        <is>
          <t>APAC</t>
        </is>
      </c>
      <c r="F174" s="8" t="inlineStr">
        <is>
          <t>Finance</t>
        </is>
      </c>
      <c r="G174" s="8" t="inlineStr">
        <is>
          <t>Thin Client</t>
        </is>
      </c>
      <c r="H174" s="8" t="inlineStr">
        <is>
          <t>SharePoint file sync failing on laptop</t>
        </is>
      </c>
      <c r="I174" s="8" t="inlineStr">
        <is>
          <t>Software</t>
        </is>
      </c>
      <c r="J174" s="8" t="inlineStr">
        <is>
          <t>Sync Issue</t>
        </is>
      </c>
      <c r="K174" s="8" t="inlineStr">
        <is>
          <t>SharePoint</t>
        </is>
      </c>
      <c r="L174" s="8" t="inlineStr">
        <is>
          <t>Medium</t>
        </is>
      </c>
      <c r="M174" s="8" t="inlineStr">
        <is>
          <t>L1 Collaboration Support</t>
        </is>
      </c>
      <c r="N174" s="8" t="inlineStr">
        <is>
          <t>No</t>
        </is>
      </c>
      <c r="O174" s="8" t="inlineStr">
        <is>
          <t>Resolved</t>
        </is>
      </c>
      <c r="P174" s="10" t="n">
        <v>0.4</v>
      </c>
      <c r="Q174" s="10" t="n">
        <v>2.4</v>
      </c>
      <c r="R174" s="10" t="n">
        <v>8</v>
      </c>
      <c r="S174" s="8">
        <f>IF(OR(O174="Open",O174="In Progress"),"Pending",IF(Q174&lt;=R174,"Yes","No"))</f>
        <v/>
      </c>
      <c r="T174" s="8" t="inlineStr">
        <is>
          <t>OneDrive sync conflict</t>
        </is>
      </c>
      <c r="U174" s="8" t="inlineStr">
        <is>
          <t>Reset sync client and re-linked library</t>
        </is>
      </c>
      <c r="V174" s="8" t="inlineStr">
        <is>
          <t>Yes</t>
        </is>
      </c>
    </row>
    <row r="175">
      <c r="A175" s="8" t="inlineStr">
        <is>
          <t>INC100173</t>
        </is>
      </c>
      <c r="B175" s="9" t="n">
        <v>46086.15625</v>
      </c>
      <c r="C175" s="8" t="inlineStr">
        <is>
          <t>Phone</t>
        </is>
      </c>
      <c r="D175" s="8" t="inlineStr">
        <is>
          <t>Ravi Verma</t>
        </is>
      </c>
      <c r="E175" s="8" t="inlineStr">
        <is>
          <t>APAC</t>
        </is>
      </c>
      <c r="F175" s="8" t="inlineStr">
        <is>
          <t>HR</t>
        </is>
      </c>
      <c r="G175" s="8" t="inlineStr">
        <is>
          <t>Laptop</t>
        </is>
      </c>
      <c r="H175" s="8" t="inlineStr">
        <is>
          <t>Role-based access required for finance application</t>
        </is>
      </c>
      <c r="I175" s="8" t="inlineStr">
        <is>
          <t>Access</t>
        </is>
      </c>
      <c r="J175" s="8" t="inlineStr">
        <is>
          <t>Role Assignment</t>
        </is>
      </c>
      <c r="K175" s="8" t="inlineStr">
        <is>
          <t>Azure AD</t>
        </is>
      </c>
      <c r="L175" s="8" t="inlineStr">
        <is>
          <t>Medium</t>
        </is>
      </c>
      <c r="M175" s="8" t="inlineStr">
        <is>
          <t>L1 Service Desk</t>
        </is>
      </c>
      <c r="N175" s="8" t="inlineStr">
        <is>
          <t>Yes</t>
        </is>
      </c>
      <c r="O175" s="8" t="inlineStr">
        <is>
          <t>Closed</t>
        </is>
      </c>
      <c r="P175" s="10" t="n">
        <v>0.6</v>
      </c>
      <c r="Q175" s="10" t="n">
        <v>7.6</v>
      </c>
      <c r="R175" s="10" t="n">
        <v>8</v>
      </c>
      <c r="S175" s="8">
        <f>IF(OR(O175="Open",O175="In Progress"),"Pending",IF(Q175&lt;=R175,"Yes","No"))</f>
        <v/>
      </c>
      <c r="T175" s="8" t="inlineStr">
        <is>
          <t>Missing app role assignment</t>
        </is>
      </c>
      <c r="U175" s="8" t="inlineStr">
        <is>
          <t>Assigned required role after approval</t>
        </is>
      </c>
      <c r="V175" s="8" t="inlineStr">
        <is>
          <t>No</t>
        </is>
      </c>
    </row>
    <row r="176">
      <c r="A176" s="8" t="inlineStr">
        <is>
          <t>INC100174</t>
        </is>
      </c>
      <c r="B176" s="9" t="n">
        <v>46066.35416666666</v>
      </c>
      <c r="C176" s="8" t="inlineStr">
        <is>
          <t>Phone</t>
        </is>
      </c>
      <c r="D176" s="8" t="inlineStr">
        <is>
          <t>Karthik Nair</t>
        </is>
      </c>
      <c r="E176" s="8" t="inlineStr">
        <is>
          <t>US</t>
        </is>
      </c>
      <c r="F176" s="8" t="inlineStr">
        <is>
          <t>IT</t>
        </is>
      </c>
      <c r="G176" s="8" t="inlineStr">
        <is>
          <t>Desktop</t>
        </is>
      </c>
      <c r="H176" s="8" t="inlineStr">
        <is>
          <t>Role-based access required for finance application</t>
        </is>
      </c>
      <c r="I176" s="8" t="inlineStr">
        <is>
          <t>Access</t>
        </is>
      </c>
      <c r="J176" s="8" t="inlineStr">
        <is>
          <t>Role Assignment</t>
        </is>
      </c>
      <c r="K176" s="8" t="inlineStr">
        <is>
          <t>Azure AD</t>
        </is>
      </c>
      <c r="L176" s="8" t="inlineStr">
        <is>
          <t>High</t>
        </is>
      </c>
      <c r="M176" s="8" t="inlineStr">
        <is>
          <t>L1 Service Desk</t>
        </is>
      </c>
      <c r="N176" s="8" t="inlineStr">
        <is>
          <t>No</t>
        </is>
      </c>
      <c r="O176" s="8" t="inlineStr">
        <is>
          <t>Resolved</t>
        </is>
      </c>
      <c r="P176" s="10" t="n">
        <v>0.4</v>
      </c>
      <c r="Q176" s="10" t="n">
        <v>8.199999999999999</v>
      </c>
      <c r="R176" s="10" t="n">
        <v>4</v>
      </c>
      <c r="S176" s="8">
        <f>IF(OR(O176="Open",O176="In Progress"),"Pending",IF(Q176&lt;=R176,"Yes","No"))</f>
        <v/>
      </c>
      <c r="T176" s="8" t="inlineStr">
        <is>
          <t>Missing app role assignment</t>
        </is>
      </c>
      <c r="U176" s="8" t="inlineStr">
        <is>
          <t>Assigned required role after approval</t>
        </is>
      </c>
      <c r="V176" s="8" t="inlineStr">
        <is>
          <t>No</t>
        </is>
      </c>
    </row>
    <row r="177">
      <c r="A177" s="8" t="inlineStr">
        <is>
          <t>INC100175</t>
        </is>
      </c>
      <c r="B177" s="9" t="n">
        <v>46054.9375</v>
      </c>
      <c r="C177" s="8" t="inlineStr">
        <is>
          <t>Chat</t>
        </is>
      </c>
      <c r="D177" s="8" t="inlineStr">
        <is>
          <t>Sanjay Verma</t>
        </is>
      </c>
      <c r="E177" s="8" t="inlineStr">
        <is>
          <t>US</t>
        </is>
      </c>
      <c r="F177" s="8" t="inlineStr">
        <is>
          <t>Legal</t>
        </is>
      </c>
      <c r="G177" s="8" t="inlineStr">
        <is>
          <t>iPad</t>
        </is>
      </c>
      <c r="H177" s="8" t="inlineStr">
        <is>
          <t>Teams login failure after password change</t>
        </is>
      </c>
      <c r="I177" s="8" t="inlineStr">
        <is>
          <t>Software</t>
        </is>
      </c>
      <c r="J177" s="8" t="inlineStr">
        <is>
          <t>Teams Login</t>
        </is>
      </c>
      <c r="K177" s="8" t="inlineStr">
        <is>
          <t>Microsoft Teams</t>
        </is>
      </c>
      <c r="L177" s="8" t="inlineStr">
        <is>
          <t>Medium</t>
        </is>
      </c>
      <c r="M177" s="8" t="inlineStr">
        <is>
          <t>L1 Service Desk</t>
        </is>
      </c>
      <c r="N177" s="8" t="inlineStr">
        <is>
          <t>No</t>
        </is>
      </c>
      <c r="O177" s="8" t="inlineStr">
        <is>
          <t>Resolved</t>
        </is>
      </c>
      <c r="P177" s="10" t="n">
        <v>1.2</v>
      </c>
      <c r="Q177" s="10" t="n">
        <v>5.3</v>
      </c>
      <c r="R177" s="10" t="n">
        <v>8</v>
      </c>
      <c r="S177" s="8">
        <f>IF(OR(O177="Open",O177="In Progress"),"Pending",IF(Q177&lt;=R177,"Yes","No"))</f>
        <v/>
      </c>
      <c r="T177" s="8" t="inlineStr">
        <is>
          <t>Cached credentials mismatch</t>
        </is>
      </c>
      <c r="U177" s="8" t="inlineStr">
        <is>
          <t>Cleared Teams cache and reauthenticated</t>
        </is>
      </c>
      <c r="V177" s="8" t="inlineStr">
        <is>
          <t>Yes</t>
        </is>
      </c>
    </row>
    <row r="178">
      <c r="A178" s="8" t="inlineStr">
        <is>
          <t>INC100176</t>
        </is>
      </c>
      <c r="B178" s="9" t="n">
        <v>46057.58333333334</v>
      </c>
      <c r="C178" s="8" t="inlineStr">
        <is>
          <t>Email</t>
        </is>
      </c>
      <c r="D178" s="8" t="inlineStr">
        <is>
          <t>Neha Joshi</t>
        </is>
      </c>
      <c r="E178" s="8" t="inlineStr">
        <is>
          <t>US</t>
        </is>
      </c>
      <c r="F178" s="8" t="inlineStr">
        <is>
          <t>Operations</t>
        </is>
      </c>
      <c r="G178" s="8" t="inlineStr">
        <is>
          <t>iPhone</t>
        </is>
      </c>
      <c r="H178" s="8" t="inlineStr">
        <is>
          <t>Outlook not opening on startup</t>
        </is>
      </c>
      <c r="I178" s="8" t="inlineStr">
        <is>
          <t>Software</t>
        </is>
      </c>
      <c r="J178" s="8" t="inlineStr">
        <is>
          <t>Outlook Issue</t>
        </is>
      </c>
      <c r="K178" s="8" t="inlineStr">
        <is>
          <t>Microsoft Office</t>
        </is>
      </c>
      <c r="L178" s="8" t="inlineStr">
        <is>
          <t>Medium</t>
        </is>
      </c>
      <c r="M178" s="8" t="inlineStr">
        <is>
          <t>L1 Service Desk</t>
        </is>
      </c>
      <c r="N178" s="8" t="inlineStr">
        <is>
          <t>No</t>
        </is>
      </c>
      <c r="O178" s="8" t="inlineStr">
        <is>
          <t>Closed</t>
        </is>
      </c>
      <c r="P178" s="10" t="n">
        <v>2.4</v>
      </c>
      <c r="Q178" s="10" t="n">
        <v>2.3</v>
      </c>
      <c r="R178" s="10" t="n">
        <v>8</v>
      </c>
      <c r="S178" s="8">
        <f>IF(OR(O178="Open",O178="In Progress"),"Pending",IF(Q178&lt;=R178,"Yes","No"))</f>
        <v/>
      </c>
      <c r="T178" s="8" t="inlineStr">
        <is>
          <t>Corrupt Office add-in</t>
        </is>
      </c>
      <c r="U178" s="8" t="inlineStr">
        <is>
          <t>Started in safe mode and repaired Office</t>
        </is>
      </c>
      <c r="V178" s="8" t="inlineStr">
        <is>
          <t>Yes</t>
        </is>
      </c>
    </row>
    <row r="179">
      <c r="A179" s="8" t="inlineStr">
        <is>
          <t>INC100177</t>
        </is>
      </c>
      <c r="B179" s="9" t="n">
        <v>46030.80208333334</v>
      </c>
      <c r="C179" s="8" t="inlineStr">
        <is>
          <t>Phone</t>
        </is>
      </c>
      <c r="D179" s="8" t="inlineStr">
        <is>
          <t>Sanjay Singh</t>
        </is>
      </c>
      <c r="E179" s="8" t="inlineStr">
        <is>
          <t>APAC</t>
        </is>
      </c>
      <c r="F179" s="8" t="inlineStr">
        <is>
          <t>Customer Support</t>
        </is>
      </c>
      <c r="G179" s="8" t="inlineStr">
        <is>
          <t>Desktop</t>
        </is>
      </c>
      <c r="H179" s="8" t="inlineStr">
        <is>
          <t>Device marked non-compliant in management portal</t>
        </is>
      </c>
      <c r="I179" s="8" t="inlineStr">
        <is>
          <t>Compliance</t>
        </is>
      </c>
      <c r="J179" s="8" t="inlineStr">
        <is>
          <t>Compliance Alert</t>
        </is>
      </c>
      <c r="K179" s="8" t="inlineStr">
        <is>
          <t>Intune</t>
        </is>
      </c>
      <c r="L179" s="8" t="inlineStr">
        <is>
          <t>Medium</t>
        </is>
      </c>
      <c r="M179" s="8" t="inlineStr">
        <is>
          <t>L1 Endpoint Support</t>
        </is>
      </c>
      <c r="N179" s="8" t="inlineStr">
        <is>
          <t>No</t>
        </is>
      </c>
      <c r="O179" s="8" t="inlineStr">
        <is>
          <t>Resolved</t>
        </is>
      </c>
      <c r="P179" s="10" t="n">
        <v>0.8</v>
      </c>
      <c r="Q179" s="10" t="n">
        <v>5.3</v>
      </c>
      <c r="R179" s="10" t="n">
        <v>8</v>
      </c>
      <c r="S179" s="8">
        <f>IF(OR(O179="Open",O179="In Progress"),"Pending",IF(Q179&lt;=R179,"Yes","No"))</f>
        <v/>
      </c>
      <c r="T179" s="8" t="inlineStr">
        <is>
          <t>Encryption / policy mismatch</t>
        </is>
      </c>
      <c r="U179" s="8" t="inlineStr">
        <is>
          <t>Triggered policy sync and updated compliance state</t>
        </is>
      </c>
      <c r="V179" s="8" t="inlineStr">
        <is>
          <t>No</t>
        </is>
      </c>
    </row>
    <row r="180">
      <c r="A180" s="8" t="inlineStr">
        <is>
          <t>INC100178</t>
        </is>
      </c>
      <c r="B180" s="9" t="n">
        <v>46044.27083333334</v>
      </c>
      <c r="C180" s="8" t="inlineStr">
        <is>
          <t>Chat</t>
        </is>
      </c>
      <c r="D180" s="8" t="inlineStr">
        <is>
          <t>Ravi Kumar</t>
        </is>
      </c>
      <c r="E180" s="8" t="inlineStr">
        <is>
          <t>APAC</t>
        </is>
      </c>
      <c r="F180" s="8" t="inlineStr">
        <is>
          <t>HR</t>
        </is>
      </c>
      <c r="G180" s="8" t="inlineStr">
        <is>
          <t>iPad</t>
        </is>
      </c>
      <c r="H180" s="8" t="inlineStr">
        <is>
          <t>Outlook not opening on startup</t>
        </is>
      </c>
      <c r="I180" s="8" t="inlineStr">
        <is>
          <t>Software</t>
        </is>
      </c>
      <c r="J180" s="8" t="inlineStr">
        <is>
          <t>Outlook Issue</t>
        </is>
      </c>
      <c r="K180" s="8" t="inlineStr">
        <is>
          <t>Microsoft Office</t>
        </is>
      </c>
      <c r="L180" s="8" t="inlineStr">
        <is>
          <t>Low</t>
        </is>
      </c>
      <c r="M180" s="8" t="inlineStr">
        <is>
          <t>L1 Service Desk</t>
        </is>
      </c>
      <c r="N180" s="8" t="inlineStr">
        <is>
          <t>No</t>
        </is>
      </c>
      <c r="O180" s="8" t="inlineStr">
        <is>
          <t>Closed</t>
        </is>
      </c>
      <c r="P180" s="10" t="n">
        <v>2.4</v>
      </c>
      <c r="Q180" s="10" t="n">
        <v>9.1</v>
      </c>
      <c r="R180" s="10" t="n">
        <v>16</v>
      </c>
      <c r="S180" s="8">
        <f>IF(OR(O180="Open",O180="In Progress"),"Pending",IF(Q180&lt;=R180,"Yes","No"))</f>
        <v/>
      </c>
      <c r="T180" s="8" t="inlineStr">
        <is>
          <t>Corrupt Office add-in</t>
        </is>
      </c>
      <c r="U180" s="8" t="inlineStr">
        <is>
          <t>Started in safe mode and repaired Office</t>
        </is>
      </c>
      <c r="V180" s="8" t="inlineStr">
        <is>
          <t>Yes</t>
        </is>
      </c>
    </row>
    <row r="181">
      <c r="A181" s="8" t="inlineStr">
        <is>
          <t>INC100179</t>
        </is>
      </c>
      <c r="B181" s="9" t="n">
        <v>46043.0625</v>
      </c>
      <c r="C181" s="8" t="inlineStr">
        <is>
          <t>Chat</t>
        </is>
      </c>
      <c r="D181" s="8" t="inlineStr">
        <is>
          <t>Nikita Singh</t>
        </is>
      </c>
      <c r="E181" s="8" t="inlineStr">
        <is>
          <t>India</t>
        </is>
      </c>
      <c r="F181" s="8" t="inlineStr">
        <is>
          <t>Operations</t>
        </is>
      </c>
      <c r="G181" s="8" t="inlineStr">
        <is>
          <t>Laptop</t>
        </is>
      </c>
      <c r="H181" s="8" t="inlineStr">
        <is>
          <t>Antivirus disabled warning on endpoint</t>
        </is>
      </c>
      <c r="I181" s="8" t="inlineStr">
        <is>
          <t>Compliance</t>
        </is>
      </c>
      <c r="J181" s="8" t="inlineStr">
        <is>
          <t>Security Alert</t>
        </is>
      </c>
      <c r="K181" s="8" t="inlineStr">
        <is>
          <t>Intune</t>
        </is>
      </c>
      <c r="L181" s="8" t="inlineStr">
        <is>
          <t>High</t>
        </is>
      </c>
      <c r="M181" s="8" t="inlineStr">
        <is>
          <t>L1 Endpoint Support</t>
        </is>
      </c>
      <c r="N181" s="8" t="inlineStr">
        <is>
          <t>No</t>
        </is>
      </c>
      <c r="O181" s="8" t="inlineStr">
        <is>
          <t>Resolved</t>
        </is>
      </c>
      <c r="P181" s="10" t="n">
        <v>0.4</v>
      </c>
      <c r="Q181" s="10" t="n">
        <v>1.3</v>
      </c>
      <c r="R181" s="10" t="n">
        <v>4</v>
      </c>
      <c r="S181" s="8">
        <f>IF(OR(O181="Open",O181="In Progress"),"Pending",IF(Q181&lt;=R181,"Yes","No"))</f>
        <v/>
      </c>
      <c r="T181" s="8" t="inlineStr">
        <is>
          <t>Protection service stopped</t>
        </is>
      </c>
      <c r="U181" s="8" t="inlineStr">
        <is>
          <t>Restarted endpoint protection service and rechecked</t>
        </is>
      </c>
      <c r="V181" s="8" t="inlineStr">
        <is>
          <t>No</t>
        </is>
      </c>
    </row>
    <row r="182">
      <c r="A182" s="8" t="inlineStr">
        <is>
          <t>INC100180</t>
        </is>
      </c>
      <c r="B182" s="9" t="n">
        <v>46079.21875</v>
      </c>
      <c r="C182" s="8" t="inlineStr">
        <is>
          <t>Portal</t>
        </is>
      </c>
      <c r="D182" s="8" t="inlineStr">
        <is>
          <t>Tarun Gupta</t>
        </is>
      </c>
      <c r="E182" s="8" t="inlineStr">
        <is>
          <t>APAC</t>
        </is>
      </c>
      <c r="F182" s="8" t="inlineStr">
        <is>
          <t>Operations</t>
        </is>
      </c>
      <c r="G182" s="8" t="inlineStr">
        <is>
          <t>Thin Client</t>
        </is>
      </c>
      <c r="H182" s="8" t="inlineStr">
        <is>
          <t>SharePoint file sync failing on laptop</t>
        </is>
      </c>
      <c r="I182" s="8" t="inlineStr">
        <is>
          <t>Software</t>
        </is>
      </c>
      <c r="J182" s="8" t="inlineStr">
        <is>
          <t>Sync Issue</t>
        </is>
      </c>
      <c r="K182" s="8" t="inlineStr">
        <is>
          <t>SharePoint</t>
        </is>
      </c>
      <c r="L182" s="8" t="inlineStr">
        <is>
          <t>Medium</t>
        </is>
      </c>
      <c r="M182" s="8" t="inlineStr">
        <is>
          <t>L1 Collaboration Support</t>
        </is>
      </c>
      <c r="N182" s="8" t="inlineStr">
        <is>
          <t>No</t>
        </is>
      </c>
      <c r="O182" s="8" t="inlineStr">
        <is>
          <t>Resolved</t>
        </is>
      </c>
      <c r="P182" s="10" t="n">
        <v>1.4</v>
      </c>
      <c r="Q182" s="10" t="n">
        <v>9.9</v>
      </c>
      <c r="R182" s="10" t="n">
        <v>8</v>
      </c>
      <c r="S182" s="8">
        <f>IF(OR(O182="Open",O182="In Progress"),"Pending",IF(Q182&lt;=R182,"Yes","No"))</f>
        <v/>
      </c>
      <c r="T182" s="8" t="inlineStr">
        <is>
          <t>OneDrive sync conflict</t>
        </is>
      </c>
      <c r="U182" s="8" t="inlineStr">
        <is>
          <t>Reset sync client and re-linked library</t>
        </is>
      </c>
      <c r="V182" s="8" t="inlineStr">
        <is>
          <t>No</t>
        </is>
      </c>
    </row>
    <row r="183">
      <c r="A183" s="8" t="inlineStr">
        <is>
          <t>INC100181</t>
        </is>
      </c>
      <c r="B183" s="9" t="n">
        <v>46058.95833333334</v>
      </c>
      <c r="C183" s="8" t="inlineStr">
        <is>
          <t>Portal</t>
        </is>
      </c>
      <c r="D183" s="8" t="inlineStr">
        <is>
          <t>Isha Patel</t>
        </is>
      </c>
      <c r="E183" s="8" t="inlineStr">
        <is>
          <t>US</t>
        </is>
      </c>
      <c r="F183" s="8" t="inlineStr">
        <is>
          <t>Customer Support</t>
        </is>
      </c>
      <c r="G183" s="8" t="inlineStr">
        <is>
          <t>iPad</t>
        </is>
      </c>
      <c r="H183" s="8" t="inlineStr">
        <is>
          <t>Unable to join Teams meeting from desktop app</t>
        </is>
      </c>
      <c r="I183" s="8" t="inlineStr">
        <is>
          <t>Software</t>
        </is>
      </c>
      <c r="J183" s="8" t="inlineStr">
        <is>
          <t>Teams Meeting</t>
        </is>
      </c>
      <c r="K183" s="8" t="inlineStr">
        <is>
          <t>Microsoft Teams</t>
        </is>
      </c>
      <c r="L183" s="8" t="inlineStr">
        <is>
          <t>Medium</t>
        </is>
      </c>
      <c r="M183" s="8" t="inlineStr">
        <is>
          <t>L1 Service Desk</t>
        </is>
      </c>
      <c r="N183" s="8" t="inlineStr">
        <is>
          <t>No</t>
        </is>
      </c>
      <c r="O183" s="8" t="inlineStr">
        <is>
          <t>Closed</t>
        </is>
      </c>
      <c r="P183" s="10" t="n">
        <v>1.1</v>
      </c>
      <c r="Q183" s="10" t="n">
        <v>6.2</v>
      </c>
      <c r="R183" s="10" t="n">
        <v>8</v>
      </c>
      <c r="S183" s="8">
        <f>IF(OR(O183="Open",O183="In Progress"),"Pending",IF(Q183&lt;=R183,"Yes","No"))</f>
        <v/>
      </c>
      <c r="T183" s="8" t="inlineStr">
        <is>
          <t>Client cache / audio stack issue</t>
        </is>
      </c>
      <c r="U183" s="8" t="inlineStr">
        <is>
          <t>Reset Teams app and checked device permissions</t>
        </is>
      </c>
      <c r="V183" s="8" t="inlineStr">
        <is>
          <t>Yes</t>
        </is>
      </c>
    </row>
    <row r="184">
      <c r="A184" s="8" t="inlineStr">
        <is>
          <t>INC100182</t>
        </is>
      </c>
      <c r="B184" s="9" t="n">
        <v>46031.10416666666</v>
      </c>
      <c r="C184" s="8" t="inlineStr">
        <is>
          <t>Portal</t>
        </is>
      </c>
      <c r="D184" s="8" t="inlineStr">
        <is>
          <t>Meera Das</t>
        </is>
      </c>
      <c r="E184" s="8" t="inlineStr">
        <is>
          <t>UK</t>
        </is>
      </c>
      <c r="F184" s="8" t="inlineStr">
        <is>
          <t>Operations</t>
        </is>
      </c>
      <c r="G184" s="8" t="inlineStr">
        <is>
          <t>iPhone</t>
        </is>
      </c>
      <c r="H184" s="8" t="inlineStr">
        <is>
          <t>Access denied to SharePoint team site</t>
        </is>
      </c>
      <c r="I184" s="8" t="inlineStr">
        <is>
          <t>Access</t>
        </is>
      </c>
      <c r="J184" s="8" t="inlineStr">
        <is>
          <t>SharePoint Access</t>
        </is>
      </c>
      <c r="K184" s="8" t="inlineStr">
        <is>
          <t>SharePoint</t>
        </is>
      </c>
      <c r="L184" s="8" t="inlineStr">
        <is>
          <t>Medium</t>
        </is>
      </c>
      <c r="M184" s="8" t="inlineStr">
        <is>
          <t>L1 Collaboration Support</t>
        </is>
      </c>
      <c r="N184" s="8" t="inlineStr">
        <is>
          <t>No</t>
        </is>
      </c>
      <c r="O184" s="8" t="inlineStr">
        <is>
          <t>Closed</t>
        </is>
      </c>
      <c r="P184" s="10" t="n">
        <v>1.4</v>
      </c>
      <c r="Q184" s="10" t="n">
        <v>12</v>
      </c>
      <c r="R184" s="10" t="n">
        <v>8</v>
      </c>
      <c r="S184" s="8">
        <f>IF(OR(O184="Open",O184="In Progress"),"Pending",IF(Q184&lt;=R184,"Yes","No"))</f>
        <v/>
      </c>
      <c r="T184" s="8" t="inlineStr">
        <is>
          <t>Permission group missing</t>
        </is>
      </c>
      <c r="U184" s="8" t="inlineStr">
        <is>
          <t>Added user to correct SharePoint group</t>
        </is>
      </c>
      <c r="V184" s="8" t="inlineStr">
        <is>
          <t>Yes</t>
        </is>
      </c>
    </row>
    <row r="185">
      <c r="A185" s="8" t="inlineStr">
        <is>
          <t>INC100183</t>
        </is>
      </c>
      <c r="B185" s="9" t="n">
        <v>46093.19791666666</v>
      </c>
      <c r="C185" s="8" t="inlineStr">
        <is>
          <t>Email</t>
        </is>
      </c>
      <c r="D185" s="8" t="inlineStr">
        <is>
          <t>Lavanya Kumar</t>
        </is>
      </c>
      <c r="E185" s="8" t="inlineStr">
        <is>
          <t>APAC</t>
        </is>
      </c>
      <c r="F185" s="8" t="inlineStr">
        <is>
          <t>HR</t>
        </is>
      </c>
      <c r="G185" s="8" t="inlineStr">
        <is>
          <t>Desktop</t>
        </is>
      </c>
      <c r="H185" s="8" t="inlineStr">
        <is>
          <t>Need creation of new user account for onboarding</t>
        </is>
      </c>
      <c r="I185" s="8" t="inlineStr">
        <is>
          <t>Access</t>
        </is>
      </c>
      <c r="J185" s="8" t="inlineStr">
        <is>
          <t>User Creation</t>
        </is>
      </c>
      <c r="K185" s="8" t="inlineStr">
        <is>
          <t>Azure AD</t>
        </is>
      </c>
      <c r="L185" s="8" t="inlineStr">
        <is>
          <t>High</t>
        </is>
      </c>
      <c r="M185" s="8" t="inlineStr">
        <is>
          <t>L1 Service Desk</t>
        </is>
      </c>
      <c r="N185" s="8" t="inlineStr">
        <is>
          <t>No</t>
        </is>
      </c>
      <c r="O185" s="8" t="inlineStr">
        <is>
          <t>Resolved</t>
        </is>
      </c>
      <c r="P185" s="10" t="n">
        <v>0.6</v>
      </c>
      <c r="Q185" s="10" t="n">
        <v>1.8</v>
      </c>
      <c r="R185" s="10" t="n">
        <v>4</v>
      </c>
      <c r="S185" s="8">
        <f>IF(OR(O185="Open",O185="In Progress"),"Pending",IF(Q185&lt;=R185,"Yes","No"))</f>
        <v/>
      </c>
      <c r="T185" s="8" t="inlineStr">
        <is>
          <t>New hire onboarding</t>
        </is>
      </c>
      <c r="U185" s="8" t="inlineStr">
        <is>
          <t>Created account and assigned baseline groups</t>
        </is>
      </c>
      <c r="V185" s="8" t="inlineStr">
        <is>
          <t>No</t>
        </is>
      </c>
    </row>
    <row r="186">
      <c r="A186" s="8" t="inlineStr">
        <is>
          <t>INC100184</t>
        </is>
      </c>
      <c r="B186" s="9" t="n">
        <v>46046.22916666666</v>
      </c>
      <c r="C186" s="8" t="inlineStr">
        <is>
          <t>Email</t>
        </is>
      </c>
      <c r="D186" s="8" t="inlineStr">
        <is>
          <t>Nikita Jain</t>
        </is>
      </c>
      <c r="E186" s="8" t="inlineStr">
        <is>
          <t>APAC</t>
        </is>
      </c>
      <c r="F186" s="8" t="inlineStr">
        <is>
          <t>Operations</t>
        </is>
      </c>
      <c r="G186" s="8" t="inlineStr">
        <is>
          <t>Desktop</t>
        </is>
      </c>
      <c r="H186" s="8" t="inlineStr">
        <is>
          <t>Outlook not opening on startup</t>
        </is>
      </c>
      <c r="I186" s="8" t="inlineStr">
        <is>
          <t>Software</t>
        </is>
      </c>
      <c r="J186" s="8" t="inlineStr">
        <is>
          <t>Outlook Issue</t>
        </is>
      </c>
      <c r="K186" s="8" t="inlineStr">
        <is>
          <t>Microsoft Office</t>
        </is>
      </c>
      <c r="L186" s="8" t="inlineStr">
        <is>
          <t>Medium</t>
        </is>
      </c>
      <c r="M186" s="8" t="inlineStr">
        <is>
          <t>L1 Service Desk</t>
        </is>
      </c>
      <c r="N186" s="8" t="inlineStr">
        <is>
          <t>No</t>
        </is>
      </c>
      <c r="O186" s="8" t="inlineStr">
        <is>
          <t>Resolved</t>
        </is>
      </c>
      <c r="P186" s="10" t="n">
        <v>2</v>
      </c>
      <c r="Q186" s="10" t="n">
        <v>4.4</v>
      </c>
      <c r="R186" s="10" t="n">
        <v>8</v>
      </c>
      <c r="S186" s="8">
        <f>IF(OR(O186="Open",O186="In Progress"),"Pending",IF(Q186&lt;=R186,"Yes","No"))</f>
        <v/>
      </c>
      <c r="T186" s="8" t="inlineStr">
        <is>
          <t>Corrupt Office add-in</t>
        </is>
      </c>
      <c r="U186" s="8" t="inlineStr">
        <is>
          <t>Started in safe mode and repaired Office</t>
        </is>
      </c>
      <c r="V186" s="8" t="inlineStr">
        <is>
          <t>Yes</t>
        </is>
      </c>
    </row>
    <row r="187">
      <c r="A187" s="8" t="inlineStr">
        <is>
          <t>INC100185</t>
        </is>
      </c>
      <c r="B187" s="9" t="n">
        <v>46053.3125</v>
      </c>
      <c r="C187" s="8" t="inlineStr">
        <is>
          <t>Portal</t>
        </is>
      </c>
      <c r="D187" s="8" t="inlineStr">
        <is>
          <t>Tarun Iyer</t>
        </is>
      </c>
      <c r="E187" s="8" t="inlineStr">
        <is>
          <t>India</t>
        </is>
      </c>
      <c r="F187" s="8" t="inlineStr">
        <is>
          <t>Operations</t>
        </is>
      </c>
      <c r="G187" s="8" t="inlineStr">
        <is>
          <t>Laptop</t>
        </is>
      </c>
      <c r="H187" s="8" t="inlineStr">
        <is>
          <t>Printer not responding for shared queue</t>
        </is>
      </c>
      <c r="I187" s="8" t="inlineStr">
        <is>
          <t>Hardware</t>
        </is>
      </c>
      <c r="J187" s="8" t="inlineStr">
        <is>
          <t>Printer Issue</t>
        </is>
      </c>
      <c r="K187" s="8" t="inlineStr">
        <is>
          <t>Printer</t>
        </is>
      </c>
      <c r="L187" s="8" t="inlineStr">
        <is>
          <t>Low</t>
        </is>
      </c>
      <c r="M187" s="8" t="inlineStr">
        <is>
          <t>L1 Endpoint Support</t>
        </is>
      </c>
      <c r="N187" s="8" t="inlineStr">
        <is>
          <t>Yes</t>
        </is>
      </c>
      <c r="O187" s="8" t="inlineStr">
        <is>
          <t>Closed</t>
        </is>
      </c>
      <c r="P187" s="10" t="n">
        <v>3.5</v>
      </c>
      <c r="Q187" s="10" t="n">
        <v>3.5</v>
      </c>
      <c r="R187" s="10" t="n">
        <v>16</v>
      </c>
      <c r="S187" s="8">
        <f>IF(OR(O187="Open",O187="In Progress"),"Pending",IF(Q187&lt;=R187,"Yes","No"))</f>
        <v/>
      </c>
      <c r="T187" s="8" t="inlineStr">
        <is>
          <t>Driver / spooler issue</t>
        </is>
      </c>
      <c r="U187" s="8" t="inlineStr">
        <is>
          <t>Restarted spooler and reinstalled driver</t>
        </is>
      </c>
      <c r="V187" s="8" t="inlineStr">
        <is>
          <t>No</t>
        </is>
      </c>
    </row>
    <row r="188">
      <c r="A188" s="8" t="inlineStr">
        <is>
          <t>INC100186</t>
        </is>
      </c>
      <c r="B188" s="9" t="n">
        <v>46055.80208333334</v>
      </c>
      <c r="C188" s="8" t="inlineStr">
        <is>
          <t>Portal</t>
        </is>
      </c>
      <c r="D188" s="8" t="inlineStr">
        <is>
          <t>Karthik Nair</t>
        </is>
      </c>
      <c r="E188" s="8" t="inlineStr">
        <is>
          <t>US</t>
        </is>
      </c>
      <c r="F188" s="8" t="inlineStr">
        <is>
          <t>Procurement</t>
        </is>
      </c>
      <c r="G188" s="8" t="inlineStr">
        <is>
          <t>iPad</t>
        </is>
      </c>
      <c r="H188" s="8" t="inlineStr">
        <is>
          <t>Teams login failure after password change</t>
        </is>
      </c>
      <c r="I188" s="8" t="inlineStr">
        <is>
          <t>Software</t>
        </is>
      </c>
      <c r="J188" s="8" t="inlineStr">
        <is>
          <t>Teams Login</t>
        </is>
      </c>
      <c r="K188" s="8" t="inlineStr">
        <is>
          <t>Microsoft Teams</t>
        </is>
      </c>
      <c r="L188" s="8" t="inlineStr">
        <is>
          <t>Low</t>
        </is>
      </c>
      <c r="M188" s="8" t="inlineStr">
        <is>
          <t>L1 Service Desk</t>
        </is>
      </c>
      <c r="N188" s="8" t="inlineStr">
        <is>
          <t>No</t>
        </is>
      </c>
      <c r="O188" s="8" t="inlineStr">
        <is>
          <t>Closed</t>
        </is>
      </c>
      <c r="P188" s="10" t="n">
        <v>0.4</v>
      </c>
      <c r="Q188" s="10" t="n">
        <v>11.6</v>
      </c>
      <c r="R188" s="10" t="n">
        <v>16</v>
      </c>
      <c r="S188" s="8">
        <f>IF(OR(O188="Open",O188="In Progress"),"Pending",IF(Q188&lt;=R188,"Yes","No"))</f>
        <v/>
      </c>
      <c r="T188" s="8" t="inlineStr">
        <is>
          <t>Cached credentials mismatch</t>
        </is>
      </c>
      <c r="U188" s="8" t="inlineStr">
        <is>
          <t>Cleared Teams cache and reauthenticated</t>
        </is>
      </c>
      <c r="V188" s="8" t="inlineStr">
        <is>
          <t>Yes</t>
        </is>
      </c>
    </row>
    <row r="189">
      <c r="A189" s="8" t="inlineStr">
        <is>
          <t>INC100187</t>
        </is>
      </c>
      <c r="B189" s="9" t="n">
        <v>46069.97916666666</v>
      </c>
      <c r="C189" s="8" t="inlineStr">
        <is>
          <t>Chat</t>
        </is>
      </c>
      <c r="D189" s="8" t="inlineStr">
        <is>
          <t>Tarun Sharma</t>
        </is>
      </c>
      <c r="E189" s="8" t="inlineStr">
        <is>
          <t>India</t>
        </is>
      </c>
      <c r="F189" s="8" t="inlineStr">
        <is>
          <t>Legal</t>
        </is>
      </c>
      <c r="G189" s="8" t="inlineStr">
        <is>
          <t>Laptop</t>
        </is>
      </c>
      <c r="H189" s="8" t="inlineStr">
        <is>
          <t>New user mailbox access not available</t>
        </is>
      </c>
      <c r="I189" s="8" t="inlineStr">
        <is>
          <t>Access</t>
        </is>
      </c>
      <c r="J189" s="8" t="inlineStr">
        <is>
          <t>Mailbox Provisioning</t>
        </is>
      </c>
      <c r="K189" s="8" t="inlineStr">
        <is>
          <t>Azure AD</t>
        </is>
      </c>
      <c r="L189" s="8" t="inlineStr">
        <is>
          <t>Medium</t>
        </is>
      </c>
      <c r="M189" s="8" t="inlineStr">
        <is>
          <t>L1 Service Desk</t>
        </is>
      </c>
      <c r="N189" s="8" t="inlineStr">
        <is>
          <t>No</t>
        </is>
      </c>
      <c r="O189" s="8" t="inlineStr">
        <is>
          <t>Closed</t>
        </is>
      </c>
      <c r="P189" s="10" t="n">
        <v>0.6</v>
      </c>
      <c r="Q189" s="10" t="n">
        <v>3.5</v>
      </c>
      <c r="R189" s="10" t="n">
        <v>8</v>
      </c>
      <c r="S189" s="8">
        <f>IF(OR(O189="Open",O189="In Progress"),"Pending",IF(Q189&lt;=R189,"Yes","No"))</f>
        <v/>
      </c>
      <c r="T189" s="8" t="inlineStr">
        <is>
          <t>License sync delay</t>
        </is>
      </c>
      <c r="U189" s="8" t="inlineStr">
        <is>
          <t>Verified license assignment and sync completion</t>
        </is>
      </c>
      <c r="V189" s="8" t="inlineStr">
        <is>
          <t>No</t>
        </is>
      </c>
    </row>
    <row r="190">
      <c r="A190" s="8" t="inlineStr">
        <is>
          <t>INC100188</t>
        </is>
      </c>
      <c r="B190" s="9" t="n">
        <v>46057.13541666666</v>
      </c>
      <c r="C190" s="8" t="inlineStr">
        <is>
          <t>Phone</t>
        </is>
      </c>
      <c r="D190" s="8" t="inlineStr">
        <is>
          <t>Tarun Rao</t>
        </is>
      </c>
      <c r="E190" s="8" t="inlineStr">
        <is>
          <t>APAC</t>
        </is>
      </c>
      <c r="F190" s="8" t="inlineStr">
        <is>
          <t>IT</t>
        </is>
      </c>
      <c r="G190" s="8" t="inlineStr">
        <is>
          <t>Laptop</t>
        </is>
      </c>
      <c r="H190" s="8" t="inlineStr">
        <is>
          <t>Printer not responding for shared queue</t>
        </is>
      </c>
      <c r="I190" s="8" t="inlineStr">
        <is>
          <t>Hardware</t>
        </is>
      </c>
      <c r="J190" s="8" t="inlineStr">
        <is>
          <t>Printer Issue</t>
        </is>
      </c>
      <c r="K190" s="8" t="inlineStr">
        <is>
          <t>Printer</t>
        </is>
      </c>
      <c r="L190" s="8" t="inlineStr">
        <is>
          <t>Low</t>
        </is>
      </c>
      <c r="M190" s="8" t="inlineStr">
        <is>
          <t>L1 Endpoint Support</t>
        </is>
      </c>
      <c r="N190" s="8" t="inlineStr">
        <is>
          <t>Yes</t>
        </is>
      </c>
      <c r="O190" s="8" t="inlineStr">
        <is>
          <t>Resolved</t>
        </is>
      </c>
      <c r="P190" s="10" t="n">
        <v>2.5</v>
      </c>
      <c r="Q190" s="10" t="n">
        <v>20.7</v>
      </c>
      <c r="R190" s="10" t="n">
        <v>16</v>
      </c>
      <c r="S190" s="8">
        <f>IF(OR(O190="Open",O190="In Progress"),"Pending",IF(Q190&lt;=R190,"Yes","No"))</f>
        <v/>
      </c>
      <c r="T190" s="8" t="inlineStr">
        <is>
          <t>Driver / spooler issue</t>
        </is>
      </c>
      <c r="U190" s="8" t="inlineStr">
        <is>
          <t>Restarted spooler and reinstalled driver</t>
        </is>
      </c>
      <c r="V190" s="8" t="inlineStr">
        <is>
          <t>No</t>
        </is>
      </c>
    </row>
    <row r="191">
      <c r="A191" s="8" t="inlineStr">
        <is>
          <t>INC100189</t>
        </is>
      </c>
      <c r="B191" s="9" t="n">
        <v>46067.25</v>
      </c>
      <c r="C191" s="8" t="inlineStr">
        <is>
          <t>Email</t>
        </is>
      </c>
      <c r="D191" s="8" t="inlineStr">
        <is>
          <t>Pooja Kumar</t>
        </is>
      </c>
      <c r="E191" s="8" t="inlineStr">
        <is>
          <t>US</t>
        </is>
      </c>
      <c r="F191" s="8" t="inlineStr">
        <is>
          <t>Procurement</t>
        </is>
      </c>
      <c r="G191" s="8" t="inlineStr">
        <is>
          <t>Desktop</t>
        </is>
      </c>
      <c r="H191" s="8" t="inlineStr">
        <is>
          <t>MFA push not received on mobile device</t>
        </is>
      </c>
      <c r="I191" s="8" t="inlineStr">
        <is>
          <t>Access</t>
        </is>
      </c>
      <c r="J191" s="8" t="inlineStr">
        <is>
          <t>MFA Failure</t>
        </is>
      </c>
      <c r="K191" s="8" t="inlineStr">
        <is>
          <t>Okta</t>
        </is>
      </c>
      <c r="L191" s="8" t="inlineStr">
        <is>
          <t>Medium</t>
        </is>
      </c>
      <c r="M191" s="8" t="inlineStr">
        <is>
          <t>L1 IAM Support</t>
        </is>
      </c>
      <c r="N191" s="8" t="inlineStr">
        <is>
          <t>Yes</t>
        </is>
      </c>
      <c r="O191" s="8" t="inlineStr">
        <is>
          <t>Resolved</t>
        </is>
      </c>
      <c r="P191" s="10" t="n">
        <v>1.7</v>
      </c>
      <c r="Q191" s="10" t="n">
        <v>3.4</v>
      </c>
      <c r="R191" s="10" t="n">
        <v>8</v>
      </c>
      <c r="S191" s="8">
        <f>IF(OR(O191="Open",O191="In Progress"),"Pending",IF(Q191&lt;=R191,"Yes","No"))</f>
        <v/>
      </c>
      <c r="T191" s="8" t="inlineStr">
        <is>
          <t>Device not enrolled correctly</t>
        </is>
      </c>
      <c r="U191" s="8" t="inlineStr">
        <is>
          <t>Re-enrolled MFA in Okta and tested push</t>
        </is>
      </c>
      <c r="V191" s="8" t="inlineStr">
        <is>
          <t>No</t>
        </is>
      </c>
    </row>
    <row r="192">
      <c r="A192" s="8" t="inlineStr">
        <is>
          <t>INC100190</t>
        </is>
      </c>
      <c r="B192" s="9" t="n">
        <v>46062.14583333334</v>
      </c>
      <c r="C192" s="8" t="inlineStr">
        <is>
          <t>Phone</t>
        </is>
      </c>
      <c r="D192" s="8" t="inlineStr">
        <is>
          <t>Meera Gupta</t>
        </is>
      </c>
      <c r="E192" s="8" t="inlineStr">
        <is>
          <t>India</t>
        </is>
      </c>
      <c r="F192" s="8" t="inlineStr">
        <is>
          <t>HR</t>
        </is>
      </c>
      <c r="G192" s="8" t="inlineStr">
        <is>
          <t>Laptop</t>
        </is>
      </c>
      <c r="H192" s="8" t="inlineStr">
        <is>
          <t>MFA push not received on mobile device</t>
        </is>
      </c>
      <c r="I192" s="8" t="inlineStr">
        <is>
          <t>Access</t>
        </is>
      </c>
      <c r="J192" s="8" t="inlineStr">
        <is>
          <t>MFA Failure</t>
        </is>
      </c>
      <c r="K192" s="8" t="inlineStr">
        <is>
          <t>Okta</t>
        </is>
      </c>
      <c r="L192" s="8" t="inlineStr">
        <is>
          <t>High</t>
        </is>
      </c>
      <c r="M192" s="8" t="inlineStr">
        <is>
          <t>L1 IAM Support</t>
        </is>
      </c>
      <c r="N192" s="8" t="inlineStr">
        <is>
          <t>No</t>
        </is>
      </c>
      <c r="O192" s="8" t="inlineStr">
        <is>
          <t>In Progress</t>
        </is>
      </c>
      <c r="P192" s="10" t="n">
        <v>0.5</v>
      </c>
      <c r="Q192" s="10" t="n"/>
      <c r="R192" s="10" t="n">
        <v>4</v>
      </c>
      <c r="S192" s="8">
        <f>IF(OR(O192="Open",O192="In Progress"),"Pending",IF(Q192&lt;=R192,"Yes","No"))</f>
        <v/>
      </c>
      <c r="T192" s="8" t="inlineStr">
        <is>
          <t>Device not enrolled correctly</t>
        </is>
      </c>
      <c r="U192" s="8" t="inlineStr">
        <is>
          <t>Pending specialist review / awaiting user confirmation</t>
        </is>
      </c>
      <c r="V192" s="8" t="inlineStr">
        <is>
          <t>No</t>
        </is>
      </c>
    </row>
    <row r="193">
      <c r="A193" s="8" t="inlineStr">
        <is>
          <t>INC100191</t>
        </is>
      </c>
      <c r="B193" s="9" t="n">
        <v>46072.65625</v>
      </c>
      <c r="C193" s="8" t="inlineStr">
        <is>
          <t>Portal</t>
        </is>
      </c>
      <c r="D193" s="8" t="inlineStr">
        <is>
          <t>Aarav Sharma</t>
        </is>
      </c>
      <c r="E193" s="8" t="inlineStr">
        <is>
          <t>UK</t>
        </is>
      </c>
      <c r="F193" s="8" t="inlineStr">
        <is>
          <t>HR</t>
        </is>
      </c>
      <c r="G193" s="8" t="inlineStr">
        <is>
          <t>iPhone</t>
        </is>
      </c>
      <c r="H193" s="8" t="inlineStr">
        <is>
          <t>Role-based access required for finance application</t>
        </is>
      </c>
      <c r="I193" s="8" t="inlineStr">
        <is>
          <t>Access</t>
        </is>
      </c>
      <c r="J193" s="8" t="inlineStr">
        <is>
          <t>Role Assignment</t>
        </is>
      </c>
      <c r="K193" s="8" t="inlineStr">
        <is>
          <t>Azure AD</t>
        </is>
      </c>
      <c r="L193" s="8" t="inlineStr">
        <is>
          <t>High</t>
        </is>
      </c>
      <c r="M193" s="8" t="inlineStr">
        <is>
          <t>L1 Service Desk</t>
        </is>
      </c>
      <c r="N193" s="8" t="inlineStr">
        <is>
          <t>Yes</t>
        </is>
      </c>
      <c r="O193" s="8" t="inlineStr">
        <is>
          <t>Resolved</t>
        </is>
      </c>
      <c r="P193" s="10" t="n">
        <v>0.6</v>
      </c>
      <c r="Q193" s="10" t="n">
        <v>8.1</v>
      </c>
      <c r="R193" s="10" t="n">
        <v>4</v>
      </c>
      <c r="S193" s="8">
        <f>IF(OR(O193="Open",O193="In Progress"),"Pending",IF(Q193&lt;=R193,"Yes","No"))</f>
        <v/>
      </c>
      <c r="T193" s="8" t="inlineStr">
        <is>
          <t>Missing app role assignment</t>
        </is>
      </c>
      <c r="U193" s="8" t="inlineStr">
        <is>
          <t>Assigned required role after approval</t>
        </is>
      </c>
      <c r="V193" s="8" t="inlineStr">
        <is>
          <t>No</t>
        </is>
      </c>
    </row>
    <row r="194">
      <c r="A194" s="8" t="inlineStr">
        <is>
          <t>INC100192</t>
        </is>
      </c>
      <c r="B194" s="9" t="n">
        <v>46059.6875</v>
      </c>
      <c r="C194" s="8" t="inlineStr">
        <is>
          <t>Phone</t>
        </is>
      </c>
      <c r="D194" s="8" t="inlineStr">
        <is>
          <t>Kiran Gupta</t>
        </is>
      </c>
      <c r="E194" s="8" t="inlineStr">
        <is>
          <t>US</t>
        </is>
      </c>
      <c r="F194" s="8" t="inlineStr">
        <is>
          <t>Operations</t>
        </is>
      </c>
      <c r="G194" s="8" t="inlineStr">
        <is>
          <t>Thin Client</t>
        </is>
      </c>
      <c r="H194" s="8" t="inlineStr">
        <is>
          <t>Outlook not opening on startup</t>
        </is>
      </c>
      <c r="I194" s="8" t="inlineStr">
        <is>
          <t>Software</t>
        </is>
      </c>
      <c r="J194" s="8" t="inlineStr">
        <is>
          <t>Outlook Issue</t>
        </is>
      </c>
      <c r="K194" s="8" t="inlineStr">
        <is>
          <t>Microsoft Office</t>
        </is>
      </c>
      <c r="L194" s="8" t="inlineStr">
        <is>
          <t>Medium</t>
        </is>
      </c>
      <c r="M194" s="8" t="inlineStr">
        <is>
          <t>L1 Service Desk</t>
        </is>
      </c>
      <c r="N194" s="8" t="inlineStr">
        <is>
          <t>No</t>
        </is>
      </c>
      <c r="O194" s="8" t="inlineStr">
        <is>
          <t>Resolved</t>
        </is>
      </c>
      <c r="P194" s="10" t="n">
        <v>1.6</v>
      </c>
      <c r="Q194" s="10" t="n">
        <v>1.9</v>
      </c>
      <c r="R194" s="10" t="n">
        <v>8</v>
      </c>
      <c r="S194" s="8">
        <f>IF(OR(O194="Open",O194="In Progress"),"Pending",IF(Q194&lt;=R194,"Yes","No"))</f>
        <v/>
      </c>
      <c r="T194" s="8" t="inlineStr">
        <is>
          <t>Corrupt Office add-in</t>
        </is>
      </c>
      <c r="U194" s="8" t="inlineStr">
        <is>
          <t>Started in safe mode and repaired Office</t>
        </is>
      </c>
      <c r="V194" s="8" t="inlineStr">
        <is>
          <t>Yes</t>
        </is>
      </c>
    </row>
    <row r="195">
      <c r="A195" s="8" t="inlineStr">
        <is>
          <t>INC100193</t>
        </is>
      </c>
      <c r="B195" s="9" t="n">
        <v>46086.94791666666</v>
      </c>
      <c r="C195" s="8" t="inlineStr">
        <is>
          <t>Phone</t>
        </is>
      </c>
      <c r="D195" s="8" t="inlineStr">
        <is>
          <t>Arjun Reddy</t>
        </is>
      </c>
      <c r="E195" s="8" t="inlineStr">
        <is>
          <t>India</t>
        </is>
      </c>
      <c r="F195" s="8" t="inlineStr">
        <is>
          <t>Operations</t>
        </is>
      </c>
      <c r="G195" s="8" t="inlineStr">
        <is>
          <t>Thin Client</t>
        </is>
      </c>
      <c r="H195" s="8" t="inlineStr">
        <is>
          <t>Device marked non-compliant in management portal</t>
        </is>
      </c>
      <c r="I195" s="8" t="inlineStr">
        <is>
          <t>Compliance</t>
        </is>
      </c>
      <c r="J195" s="8" t="inlineStr">
        <is>
          <t>Compliance Alert</t>
        </is>
      </c>
      <c r="K195" s="8" t="inlineStr">
        <is>
          <t>Intune</t>
        </is>
      </c>
      <c r="L195" s="8" t="inlineStr">
        <is>
          <t>High</t>
        </is>
      </c>
      <c r="M195" s="8" t="inlineStr">
        <is>
          <t>L1 Endpoint Support</t>
        </is>
      </c>
      <c r="N195" s="8" t="inlineStr">
        <is>
          <t>No</t>
        </is>
      </c>
      <c r="O195" s="8" t="inlineStr">
        <is>
          <t>Closed</t>
        </is>
      </c>
      <c r="P195" s="10" t="n">
        <v>0.5</v>
      </c>
      <c r="Q195" s="10" t="n">
        <v>2</v>
      </c>
      <c r="R195" s="10" t="n">
        <v>4</v>
      </c>
      <c r="S195" s="8">
        <f>IF(OR(O195="Open",O195="In Progress"),"Pending",IF(Q195&lt;=R195,"Yes","No"))</f>
        <v/>
      </c>
      <c r="T195" s="8" t="inlineStr">
        <is>
          <t>Encryption / policy mismatch</t>
        </is>
      </c>
      <c r="U195" s="8" t="inlineStr">
        <is>
          <t>Triggered policy sync and updated compliance state</t>
        </is>
      </c>
      <c r="V195" s="8" t="inlineStr">
        <is>
          <t>No</t>
        </is>
      </c>
    </row>
    <row r="196">
      <c r="A196" s="8" t="inlineStr">
        <is>
          <t>INC100194</t>
        </is>
      </c>
      <c r="B196" s="9" t="n">
        <v>46035.51041666666</v>
      </c>
      <c r="C196" s="8" t="inlineStr">
        <is>
          <t>Chat</t>
        </is>
      </c>
      <c r="D196" s="8" t="inlineStr">
        <is>
          <t>Lavanya Singh</t>
        </is>
      </c>
      <c r="E196" s="8" t="inlineStr">
        <is>
          <t>UK</t>
        </is>
      </c>
      <c r="F196" s="8" t="inlineStr">
        <is>
          <t>Finance</t>
        </is>
      </c>
      <c r="G196" s="8" t="inlineStr">
        <is>
          <t>Desktop</t>
        </is>
      </c>
      <c r="H196" s="8" t="inlineStr">
        <is>
          <t>Software installation blocked on endpoint</t>
        </is>
      </c>
      <c r="I196" s="8" t="inlineStr">
        <is>
          <t>Software</t>
        </is>
      </c>
      <c r="J196" s="8" t="inlineStr">
        <is>
          <t>Installation Issue</t>
        </is>
      </c>
      <c r="K196" s="8" t="inlineStr">
        <is>
          <t>Windows</t>
        </is>
      </c>
      <c r="L196" s="8" t="inlineStr">
        <is>
          <t>Low</t>
        </is>
      </c>
      <c r="M196" s="8" t="inlineStr">
        <is>
          <t>L1 Endpoint Support</t>
        </is>
      </c>
      <c r="N196" s="8" t="inlineStr">
        <is>
          <t>No</t>
        </is>
      </c>
      <c r="O196" s="8" t="inlineStr">
        <is>
          <t>Resolved</t>
        </is>
      </c>
      <c r="P196" s="10" t="n">
        <v>3</v>
      </c>
      <c r="Q196" s="10" t="n">
        <v>20.5</v>
      </c>
      <c r="R196" s="10" t="n">
        <v>16</v>
      </c>
      <c r="S196" s="8">
        <f>IF(OR(O196="Open",O196="In Progress"),"Pending",IF(Q196&lt;=R196,"Yes","No"))</f>
        <v/>
      </c>
      <c r="T196" s="8" t="inlineStr">
        <is>
          <t>Admin rights required</t>
        </is>
      </c>
      <c r="U196" s="8" t="inlineStr">
        <is>
          <t>Installed package via approved elevated workflow</t>
        </is>
      </c>
      <c r="V196" s="8" t="inlineStr">
        <is>
          <t>Yes</t>
        </is>
      </c>
    </row>
    <row r="197">
      <c r="A197" s="8" t="inlineStr">
        <is>
          <t>INC100195</t>
        </is>
      </c>
      <c r="B197" s="9" t="n">
        <v>46037.92708333334</v>
      </c>
      <c r="C197" s="8" t="inlineStr">
        <is>
          <t>Chat</t>
        </is>
      </c>
      <c r="D197" s="8" t="inlineStr">
        <is>
          <t>Isha Jain</t>
        </is>
      </c>
      <c r="E197" s="8" t="inlineStr">
        <is>
          <t>India</t>
        </is>
      </c>
      <c r="F197" s="8" t="inlineStr">
        <is>
          <t>Finance</t>
        </is>
      </c>
      <c r="G197" s="8" t="inlineStr">
        <is>
          <t>iPhone</t>
        </is>
      </c>
      <c r="H197" s="8" t="inlineStr">
        <is>
          <t>OS outdated and pending critical patches</t>
        </is>
      </c>
      <c r="I197" s="8" t="inlineStr">
        <is>
          <t>Compliance</t>
        </is>
      </c>
      <c r="J197" s="8" t="inlineStr">
        <is>
          <t>Patch Compliance</t>
        </is>
      </c>
      <c r="K197" s="8" t="inlineStr">
        <is>
          <t>Intune</t>
        </is>
      </c>
      <c r="L197" s="8" t="inlineStr">
        <is>
          <t>Medium</t>
        </is>
      </c>
      <c r="M197" s="8" t="inlineStr">
        <is>
          <t>L1 Endpoint Support</t>
        </is>
      </c>
      <c r="N197" s="8" t="inlineStr">
        <is>
          <t>No</t>
        </is>
      </c>
      <c r="O197" s="8" t="inlineStr">
        <is>
          <t>Resolved</t>
        </is>
      </c>
      <c r="P197" s="10" t="n">
        <v>1</v>
      </c>
      <c r="Q197" s="10" t="n">
        <v>6.2</v>
      </c>
      <c r="R197" s="10" t="n">
        <v>8</v>
      </c>
      <c r="S197" s="8">
        <f>IF(OR(O197="Open",O197="In Progress"),"Pending",IF(Q197&lt;=R197,"Yes","No"))</f>
        <v/>
      </c>
      <c r="T197" s="8" t="inlineStr">
        <is>
          <t>Pending update ring</t>
        </is>
      </c>
      <c r="U197" s="8" t="inlineStr">
        <is>
          <t>Forced sync and scheduled patch installation</t>
        </is>
      </c>
      <c r="V197" s="8" t="inlineStr">
        <is>
          <t>No</t>
        </is>
      </c>
    </row>
    <row r="198">
      <c r="A198" s="8" t="inlineStr">
        <is>
          <t>INC100196</t>
        </is>
      </c>
      <c r="B198" s="9" t="n">
        <v>46094.04166666666</v>
      </c>
      <c r="C198" s="8" t="inlineStr">
        <is>
          <t>Chat</t>
        </is>
      </c>
      <c r="D198" s="8" t="inlineStr">
        <is>
          <t>Aarav Singh</t>
        </is>
      </c>
      <c r="E198" s="8" t="inlineStr">
        <is>
          <t>India</t>
        </is>
      </c>
      <c r="F198" s="8" t="inlineStr">
        <is>
          <t>Finance</t>
        </is>
      </c>
      <c r="G198" s="8" t="inlineStr">
        <is>
          <t>Laptop</t>
        </is>
      </c>
      <c r="H198" s="8" t="inlineStr">
        <is>
          <t>MFA push not received on mobile device</t>
        </is>
      </c>
      <c r="I198" s="8" t="inlineStr">
        <is>
          <t>Access</t>
        </is>
      </c>
      <c r="J198" s="8" t="inlineStr">
        <is>
          <t>MFA Failure</t>
        </is>
      </c>
      <c r="K198" s="8" t="inlineStr">
        <is>
          <t>Okta</t>
        </is>
      </c>
      <c r="L198" s="8" t="inlineStr">
        <is>
          <t>Medium</t>
        </is>
      </c>
      <c r="M198" s="8" t="inlineStr">
        <is>
          <t>L1 IAM Support</t>
        </is>
      </c>
      <c r="N198" s="8" t="inlineStr">
        <is>
          <t>No</t>
        </is>
      </c>
      <c r="O198" s="8" t="inlineStr">
        <is>
          <t>Resolved</t>
        </is>
      </c>
      <c r="P198" s="10" t="n">
        <v>2.3</v>
      </c>
      <c r="Q198" s="10" t="n">
        <v>6.9</v>
      </c>
      <c r="R198" s="10" t="n">
        <v>8</v>
      </c>
      <c r="S198" s="8">
        <f>IF(OR(O198="Open",O198="In Progress"),"Pending",IF(Q198&lt;=R198,"Yes","No"))</f>
        <v/>
      </c>
      <c r="T198" s="8" t="inlineStr">
        <is>
          <t>Device not enrolled correctly</t>
        </is>
      </c>
      <c r="U198" s="8" t="inlineStr">
        <is>
          <t>Re-enrolled MFA in Okta and tested push</t>
        </is>
      </c>
      <c r="V198" s="8" t="inlineStr">
        <is>
          <t>No</t>
        </is>
      </c>
    </row>
    <row r="199">
      <c r="A199" s="8" t="inlineStr">
        <is>
          <t>INC100197</t>
        </is>
      </c>
      <c r="B199" s="9" t="n">
        <v>46062.625</v>
      </c>
      <c r="C199" s="8" t="inlineStr">
        <is>
          <t>Phone</t>
        </is>
      </c>
      <c r="D199" s="8" t="inlineStr">
        <is>
          <t>Lavanya Das</t>
        </is>
      </c>
      <c r="E199" s="8" t="inlineStr">
        <is>
          <t>US</t>
        </is>
      </c>
      <c r="F199" s="8" t="inlineStr">
        <is>
          <t>Procurement</t>
        </is>
      </c>
      <c r="G199" s="8" t="inlineStr">
        <is>
          <t>iPhone</t>
        </is>
      </c>
      <c r="H199" s="8" t="inlineStr">
        <is>
          <t>Device marked non-compliant in management portal</t>
        </is>
      </c>
      <c r="I199" s="8" t="inlineStr">
        <is>
          <t>Compliance</t>
        </is>
      </c>
      <c r="J199" s="8" t="inlineStr">
        <is>
          <t>Compliance Alert</t>
        </is>
      </c>
      <c r="K199" s="8" t="inlineStr">
        <is>
          <t>Intune</t>
        </is>
      </c>
      <c r="L199" s="8" t="inlineStr">
        <is>
          <t>High</t>
        </is>
      </c>
      <c r="M199" s="8" t="inlineStr">
        <is>
          <t>L1 Endpoint Support</t>
        </is>
      </c>
      <c r="N199" s="8" t="inlineStr">
        <is>
          <t>Yes</t>
        </is>
      </c>
      <c r="O199" s="8" t="inlineStr">
        <is>
          <t>Resolved</t>
        </is>
      </c>
      <c r="P199" s="10" t="n">
        <v>0.7</v>
      </c>
      <c r="Q199" s="10" t="n">
        <v>1.8</v>
      </c>
      <c r="R199" s="10" t="n">
        <v>4</v>
      </c>
      <c r="S199" s="8">
        <f>IF(OR(O199="Open",O199="In Progress"),"Pending",IF(Q199&lt;=R199,"Yes","No"))</f>
        <v/>
      </c>
      <c r="T199" s="8" t="inlineStr">
        <is>
          <t>Encryption / policy mismatch</t>
        </is>
      </c>
      <c r="U199" s="8" t="inlineStr">
        <is>
          <t>Triggered policy sync and updated compliance state</t>
        </is>
      </c>
      <c r="V199" s="8" t="inlineStr">
        <is>
          <t>No</t>
        </is>
      </c>
    </row>
    <row r="200">
      <c r="A200" s="8" t="inlineStr">
        <is>
          <t>INC100198</t>
        </is>
      </c>
      <c r="B200" s="9" t="n">
        <v>46078.375</v>
      </c>
      <c r="C200" s="8" t="inlineStr">
        <is>
          <t>Phone</t>
        </is>
      </c>
      <c r="D200" s="8" t="inlineStr">
        <is>
          <t>Ananya Kapoor</t>
        </is>
      </c>
      <c r="E200" s="8" t="inlineStr">
        <is>
          <t>APAC</t>
        </is>
      </c>
      <c r="F200" s="8" t="inlineStr">
        <is>
          <t>Sales</t>
        </is>
      </c>
      <c r="G200" s="8" t="inlineStr">
        <is>
          <t>Desktop</t>
        </is>
      </c>
      <c r="H200" s="8" t="inlineStr">
        <is>
          <t>Printer not responding for shared queue</t>
        </is>
      </c>
      <c r="I200" s="8" t="inlineStr">
        <is>
          <t>Hardware</t>
        </is>
      </c>
      <c r="J200" s="8" t="inlineStr">
        <is>
          <t>Printer Issue</t>
        </is>
      </c>
      <c r="K200" s="8" t="inlineStr">
        <is>
          <t>Printer</t>
        </is>
      </c>
      <c r="L200" s="8" t="inlineStr">
        <is>
          <t>Low</t>
        </is>
      </c>
      <c r="M200" s="8" t="inlineStr">
        <is>
          <t>L1 Endpoint Support</t>
        </is>
      </c>
      <c r="N200" s="8" t="inlineStr">
        <is>
          <t>No</t>
        </is>
      </c>
      <c r="O200" s="8" t="inlineStr">
        <is>
          <t>Resolved</t>
        </is>
      </c>
      <c r="P200" s="10" t="n">
        <v>3.7</v>
      </c>
      <c r="Q200" s="10" t="n">
        <v>2.4</v>
      </c>
      <c r="R200" s="10" t="n">
        <v>16</v>
      </c>
      <c r="S200" s="8">
        <f>IF(OR(O200="Open",O200="In Progress"),"Pending",IF(Q200&lt;=R200,"Yes","No"))</f>
        <v/>
      </c>
      <c r="T200" s="8" t="inlineStr">
        <is>
          <t>Driver / spooler issue</t>
        </is>
      </c>
      <c r="U200" s="8" t="inlineStr">
        <is>
          <t>Restarted spooler and reinstalled driver</t>
        </is>
      </c>
      <c r="V200" s="8" t="inlineStr">
        <is>
          <t>Yes</t>
        </is>
      </c>
    </row>
    <row r="201">
      <c r="A201" s="8" t="inlineStr">
        <is>
          <t>INC100199</t>
        </is>
      </c>
      <c r="B201" s="9" t="n">
        <v>46029.38541666666</v>
      </c>
      <c r="C201" s="8" t="inlineStr">
        <is>
          <t>Chat</t>
        </is>
      </c>
      <c r="D201" s="8" t="inlineStr">
        <is>
          <t>Aarav Patel</t>
        </is>
      </c>
      <c r="E201" s="8" t="inlineStr">
        <is>
          <t>APAC</t>
        </is>
      </c>
      <c r="F201" s="8" t="inlineStr">
        <is>
          <t>IT</t>
        </is>
      </c>
      <c r="G201" s="8" t="inlineStr">
        <is>
          <t>Laptop</t>
        </is>
      </c>
      <c r="H201" s="8" t="inlineStr">
        <is>
          <t>MFA push not received on mobile device</t>
        </is>
      </c>
      <c r="I201" s="8" t="inlineStr">
        <is>
          <t>Access</t>
        </is>
      </c>
      <c r="J201" s="8" t="inlineStr">
        <is>
          <t>MFA Failure</t>
        </is>
      </c>
      <c r="K201" s="8" t="inlineStr">
        <is>
          <t>Okta</t>
        </is>
      </c>
      <c r="L201" s="8" t="inlineStr">
        <is>
          <t>High</t>
        </is>
      </c>
      <c r="M201" s="8" t="inlineStr">
        <is>
          <t>L1 IAM Support</t>
        </is>
      </c>
      <c r="N201" s="8" t="inlineStr">
        <is>
          <t>No</t>
        </is>
      </c>
      <c r="O201" s="8" t="inlineStr">
        <is>
          <t>Closed</t>
        </is>
      </c>
      <c r="P201" s="10" t="n">
        <v>0.2</v>
      </c>
      <c r="Q201" s="10" t="n">
        <v>3</v>
      </c>
      <c r="R201" s="10" t="n">
        <v>4</v>
      </c>
      <c r="S201" s="8">
        <f>IF(OR(O201="Open",O201="In Progress"),"Pending",IF(Q201&lt;=R201,"Yes","No"))</f>
        <v/>
      </c>
      <c r="T201" s="8" t="inlineStr">
        <is>
          <t>Device not enrolled correctly</t>
        </is>
      </c>
      <c r="U201" s="8" t="inlineStr">
        <is>
          <t>Re-enrolled MFA in Okta and tested push</t>
        </is>
      </c>
      <c r="V201" s="8" t="inlineStr">
        <is>
          <t>Yes</t>
        </is>
      </c>
    </row>
  </sheetData>
  <autoFilter ref="A1:V201"/>
  <conditionalFormatting sqref="S2:S201">
    <cfRule type="cellIs" priority="1" operator="equal" dxfId="0">
      <formula>"Yes"</formula>
    </cfRule>
    <cfRule type="cellIs" priority="2" operator="equal" dxfId="1">
      <formula>"No"</formula>
    </cfRule>
  </conditionalFormatting>
  <conditionalFormatting sqref="N2:N201">
    <cfRule type="cellIs" priority="3" operator="equal" dxfId="2">
      <formula>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0" customWidth="1" min="3" max="3"/>
    <col width="18" customWidth="1" min="4" max="4"/>
    <col width="18" customWidth="1" min="5" max="5"/>
    <col width="15" customWidth="1" min="6" max="6"/>
    <col width="34" customWidth="1" min="7" max="7"/>
    <col width="14" customWidth="1" min="8" max="8"/>
    <col width="16" customWidth="1" min="9" max="9"/>
    <col width="18" customWidth="1" min="10" max="10"/>
    <col width="15" customWidth="1" min="11" max="11"/>
    <col width="19" customWidth="1" min="12" max="12"/>
    <col width="12" customWidth="1" min="13" max="13"/>
    <col width="34" customWidth="1" min="14" max="14"/>
  </cols>
  <sheetData>
    <row r="1">
      <c r="A1" s="7" t="inlineStr">
        <is>
          <t>Request ID</t>
        </is>
      </c>
      <c r="B1" s="7" t="inlineStr">
        <is>
          <t>Request Date</t>
        </is>
      </c>
      <c r="C1" s="7" t="inlineStr">
        <is>
          <t>Employee Name</t>
        </is>
      </c>
      <c r="D1" s="7" t="inlineStr">
        <is>
          <t>Department</t>
        </is>
      </c>
      <c r="E1" s="7" t="inlineStr">
        <is>
          <t>Request Type</t>
        </is>
      </c>
      <c r="F1" s="7" t="inlineStr">
        <is>
          <t>Tool</t>
        </is>
      </c>
      <c r="G1" s="7" t="inlineStr">
        <is>
          <t>Access / Action</t>
        </is>
      </c>
      <c r="H1" s="7" t="inlineStr">
        <is>
          <t>Approval Status</t>
        </is>
      </c>
      <c r="I1" s="7" t="inlineStr">
        <is>
          <t>Completion Status</t>
        </is>
      </c>
      <c r="J1" s="7" t="inlineStr">
        <is>
          <t>Assigned Team</t>
        </is>
      </c>
      <c r="K1" s="7" t="inlineStr">
        <is>
          <t>SLA Target (hrs)</t>
        </is>
      </c>
      <c r="L1" s="7" t="inlineStr">
        <is>
          <t>Completion Time (hrs)</t>
        </is>
      </c>
      <c r="M1" s="7" t="inlineStr">
        <is>
          <t>Within SLA</t>
        </is>
      </c>
      <c r="N1" s="7" t="inlineStr">
        <is>
          <t>Notes</t>
        </is>
      </c>
    </row>
    <row r="2">
      <c r="A2" s="4" t="inlineStr">
        <is>
          <t>REQ20000</t>
        </is>
      </c>
      <c r="B2" s="11" t="n">
        <v>46064.95833333334</v>
      </c>
      <c r="C2" s="4" t="inlineStr">
        <is>
          <t>Vikram Das</t>
        </is>
      </c>
      <c r="D2" s="4" t="inlineStr">
        <is>
          <t>HR</t>
        </is>
      </c>
      <c r="E2" s="4" t="inlineStr">
        <is>
          <t>Role Change</t>
        </is>
      </c>
      <c r="F2" s="4" t="inlineStr">
        <is>
          <t>Azure AD</t>
        </is>
      </c>
      <c r="G2" s="4" t="inlineStr">
        <is>
          <t>Assign/remove application role</t>
        </is>
      </c>
      <c r="H2" s="4" t="inlineStr">
        <is>
          <t>Approved</t>
        </is>
      </c>
      <c r="I2" s="4" t="inlineStr">
        <is>
          <t>Completed</t>
        </is>
      </c>
      <c r="J2" s="4" t="inlineStr">
        <is>
          <t>IAM Operations</t>
        </is>
      </c>
      <c r="K2" s="4" t="n">
        <v>8</v>
      </c>
      <c r="L2" s="4" t="n">
        <v>0.9</v>
      </c>
      <c r="M2" s="4">
        <f>IF(OR(I2="Waiting Approval",I2="In Progress"),"Pending",IF(L2&lt;=K2,"Yes","No"))</f>
        <v/>
      </c>
      <c r="N2" s="4" t="inlineStr">
        <is>
          <t>Role Change request aligned to Azure AD workflow.</t>
        </is>
      </c>
    </row>
    <row r="3">
      <c r="A3" s="4" t="inlineStr">
        <is>
          <t>REQ20001</t>
        </is>
      </c>
      <c r="B3" s="11" t="n">
        <v>46059.70833333334</v>
      </c>
      <c r="C3" s="4" t="inlineStr">
        <is>
          <t>Neha Iyer</t>
        </is>
      </c>
      <c r="D3" s="4" t="inlineStr">
        <is>
          <t>HR</t>
        </is>
      </c>
      <c r="E3" s="4" t="inlineStr">
        <is>
          <t>VPN Access</t>
        </is>
      </c>
      <c r="F3" s="4" t="inlineStr">
        <is>
          <t>VPN</t>
        </is>
      </c>
      <c r="G3" s="4" t="inlineStr">
        <is>
          <t>Provision VPN access</t>
        </is>
      </c>
      <c r="H3" s="4" t="inlineStr">
        <is>
          <t>Approved</t>
        </is>
      </c>
      <c r="I3" s="4" t="inlineStr">
        <is>
          <t>Completed</t>
        </is>
      </c>
      <c r="J3" s="4" t="inlineStr">
        <is>
          <t>Service Desk</t>
        </is>
      </c>
      <c r="K3" s="4" t="n">
        <v>8</v>
      </c>
      <c r="L3" s="4" t="n">
        <v>6.8</v>
      </c>
      <c r="M3" s="4">
        <f>IF(OR(I3="Waiting Approval",I3="In Progress"),"Pending",IF(L3&lt;=K3,"Yes","No"))</f>
        <v/>
      </c>
      <c r="N3" s="4" t="inlineStr">
        <is>
          <t>VPN Access request aligned to VPN workflow.</t>
        </is>
      </c>
    </row>
    <row r="4">
      <c r="A4" s="4" t="inlineStr">
        <is>
          <t>REQ20002</t>
        </is>
      </c>
      <c r="B4" s="11" t="n">
        <v>46049.16666666666</v>
      </c>
      <c r="C4" s="4" t="inlineStr">
        <is>
          <t>Priya Nair</t>
        </is>
      </c>
      <c r="D4" s="4" t="inlineStr">
        <is>
          <t>IT</t>
        </is>
      </c>
      <c r="E4" s="4" t="inlineStr">
        <is>
          <t>User Onboarding</t>
        </is>
      </c>
      <c r="F4" s="4" t="inlineStr">
        <is>
          <t>Azure AD</t>
        </is>
      </c>
      <c r="G4" s="4" t="inlineStr">
        <is>
          <t>Create user account + baseline group membership</t>
        </is>
      </c>
      <c r="H4" s="4" t="inlineStr">
        <is>
          <t>Pending</t>
        </is>
      </c>
      <c r="I4" s="4" t="inlineStr">
        <is>
          <t>Waiting Approval</t>
        </is>
      </c>
      <c r="J4" s="4" t="inlineStr">
        <is>
          <t>IAM Operations</t>
        </is>
      </c>
      <c r="K4" s="4" t="n">
        <v>8</v>
      </c>
      <c r="L4" s="4" t="n"/>
      <c r="M4" s="4">
        <f>IF(OR(I4="Waiting Approval",I4="In Progress"),"Pending",IF(L4&lt;=K4,"Yes","No"))</f>
        <v/>
      </c>
      <c r="N4" s="4" t="inlineStr">
        <is>
          <t>User Onboarding request aligned to Azure AD workflow.</t>
        </is>
      </c>
    </row>
    <row r="5">
      <c r="A5" s="4" t="inlineStr">
        <is>
          <t>REQ20003</t>
        </is>
      </c>
      <c r="B5" s="11" t="n">
        <v>46043.58333333334</v>
      </c>
      <c r="C5" s="4" t="inlineStr">
        <is>
          <t>Priya Das</t>
        </is>
      </c>
      <c r="D5" s="4" t="inlineStr">
        <is>
          <t>Customer Support</t>
        </is>
      </c>
      <c r="E5" s="4" t="inlineStr">
        <is>
          <t>VPN Access</t>
        </is>
      </c>
      <c r="F5" s="4" t="inlineStr">
        <is>
          <t>VPN</t>
        </is>
      </c>
      <c r="G5" s="4" t="inlineStr">
        <is>
          <t>Provision VPN access</t>
        </is>
      </c>
      <c r="H5" s="4" t="inlineStr">
        <is>
          <t>Approved</t>
        </is>
      </c>
      <c r="I5" s="4" t="inlineStr">
        <is>
          <t>Completed</t>
        </is>
      </c>
      <c r="J5" s="4" t="inlineStr">
        <is>
          <t>Service Desk</t>
        </is>
      </c>
      <c r="K5" s="4" t="n">
        <v>8</v>
      </c>
      <c r="L5" s="4" t="n">
        <v>3</v>
      </c>
      <c r="M5" s="4">
        <f>IF(OR(I5="Waiting Approval",I5="In Progress"),"Pending",IF(L5&lt;=K5,"Yes","No"))</f>
        <v/>
      </c>
      <c r="N5" s="4" t="inlineStr">
        <is>
          <t>VPN Access request aligned to VPN workflow.</t>
        </is>
      </c>
    </row>
    <row r="6">
      <c r="A6" s="4" t="inlineStr">
        <is>
          <t>REQ20004</t>
        </is>
      </c>
      <c r="B6" s="11" t="n">
        <v>46051.45833333334</v>
      </c>
      <c r="C6" s="4" t="inlineStr">
        <is>
          <t>Rahul Singh</t>
        </is>
      </c>
      <c r="D6" s="4" t="inlineStr">
        <is>
          <t>IT</t>
        </is>
      </c>
      <c r="E6" s="4" t="inlineStr">
        <is>
          <t>Role Change</t>
        </is>
      </c>
      <c r="F6" s="4" t="inlineStr">
        <is>
          <t>Azure AD</t>
        </is>
      </c>
      <c r="G6" s="4" t="inlineStr">
        <is>
          <t>Assign/remove application role</t>
        </is>
      </c>
      <c r="H6" s="4" t="inlineStr">
        <is>
          <t>Approved</t>
        </is>
      </c>
      <c r="I6" s="4" t="inlineStr">
        <is>
          <t>Completed</t>
        </is>
      </c>
      <c r="J6" s="4" t="inlineStr">
        <is>
          <t>IAM Operations</t>
        </is>
      </c>
      <c r="K6" s="4" t="n">
        <v>8</v>
      </c>
      <c r="L6" s="4" t="n">
        <v>2.3</v>
      </c>
      <c r="M6" s="4">
        <f>IF(OR(I6="Waiting Approval",I6="In Progress"),"Pending",IF(L6&lt;=K6,"Yes","No"))</f>
        <v/>
      </c>
      <c r="N6" s="4" t="inlineStr">
        <is>
          <t>Role Change request aligned to Azure AD workflow.</t>
        </is>
      </c>
    </row>
    <row r="7">
      <c r="A7" s="4" t="inlineStr">
        <is>
          <t>REQ20005</t>
        </is>
      </c>
      <c r="B7" s="11" t="n">
        <v>46062.54166666666</v>
      </c>
      <c r="C7" s="4" t="inlineStr">
        <is>
          <t>Rahul Joshi</t>
        </is>
      </c>
      <c r="D7" s="4" t="inlineStr">
        <is>
          <t>Legal</t>
        </is>
      </c>
      <c r="E7" s="4" t="inlineStr">
        <is>
          <t>User Onboarding</t>
        </is>
      </c>
      <c r="F7" s="4" t="inlineStr">
        <is>
          <t>Azure AD</t>
        </is>
      </c>
      <c r="G7" s="4" t="inlineStr">
        <is>
          <t>Create user account + baseline group membership</t>
        </is>
      </c>
      <c r="H7" s="4" t="inlineStr">
        <is>
          <t>Approved</t>
        </is>
      </c>
      <c r="I7" s="4" t="inlineStr">
        <is>
          <t>Completed</t>
        </is>
      </c>
      <c r="J7" s="4" t="inlineStr">
        <is>
          <t>IAM Operations</t>
        </is>
      </c>
      <c r="K7" s="4" t="n">
        <v>8</v>
      </c>
      <c r="L7" s="4" t="n">
        <v>0.6</v>
      </c>
      <c r="M7" s="4">
        <f>IF(OR(I7="Waiting Approval",I7="In Progress"),"Pending",IF(L7&lt;=K7,"Yes","No"))</f>
        <v/>
      </c>
      <c r="N7" s="4" t="inlineStr">
        <is>
          <t>User Onboarding request aligned to Azure AD workflow.</t>
        </is>
      </c>
    </row>
    <row r="8">
      <c r="A8" s="4" t="inlineStr">
        <is>
          <t>REQ20006</t>
        </is>
      </c>
      <c r="B8" s="11" t="n">
        <v>46053.20833333334</v>
      </c>
      <c r="C8" s="4" t="inlineStr">
        <is>
          <t>Tarun Verma</t>
        </is>
      </c>
      <c r="D8" s="4" t="inlineStr">
        <is>
          <t>Procurement</t>
        </is>
      </c>
      <c r="E8" s="4" t="inlineStr">
        <is>
          <t>SharePoint Access</t>
        </is>
      </c>
      <c r="F8" s="4" t="inlineStr">
        <is>
          <t>SharePoint</t>
        </is>
      </c>
      <c r="G8" s="4" t="inlineStr">
        <is>
          <t>Add to site permissions group</t>
        </is>
      </c>
      <c r="H8" s="4" t="inlineStr">
        <is>
          <t>Approved</t>
        </is>
      </c>
      <c r="I8" s="4" t="inlineStr">
        <is>
          <t>In Progress</t>
        </is>
      </c>
      <c r="J8" s="4" t="inlineStr">
        <is>
          <t>Collaboration Support</t>
        </is>
      </c>
      <c r="K8" s="4" t="n">
        <v>8</v>
      </c>
      <c r="L8" s="4" t="n"/>
      <c r="M8" s="4">
        <f>IF(OR(I8="Waiting Approval",I8="In Progress"),"Pending",IF(L8&lt;=K8,"Yes","No"))</f>
        <v/>
      </c>
      <c r="N8" s="4" t="inlineStr">
        <is>
          <t>SharePoint Access request aligned to SharePoint workflow.</t>
        </is>
      </c>
    </row>
    <row r="9">
      <c r="A9" s="4" t="inlineStr">
        <is>
          <t>REQ20007</t>
        </is>
      </c>
      <c r="B9" s="11" t="n">
        <v>46078.79166666666</v>
      </c>
      <c r="C9" s="4" t="inlineStr">
        <is>
          <t>Isha Verma</t>
        </is>
      </c>
      <c r="D9" s="4" t="inlineStr">
        <is>
          <t>Sales</t>
        </is>
      </c>
      <c r="E9" s="4" t="inlineStr">
        <is>
          <t>Role Change</t>
        </is>
      </c>
      <c r="F9" s="4" t="inlineStr">
        <is>
          <t>Azure AD</t>
        </is>
      </c>
      <c r="G9" s="4" t="inlineStr">
        <is>
          <t>Assign/remove application role</t>
        </is>
      </c>
      <c r="H9" s="4" t="inlineStr">
        <is>
          <t>Approved</t>
        </is>
      </c>
      <c r="I9" s="4" t="inlineStr">
        <is>
          <t>Completed</t>
        </is>
      </c>
      <c r="J9" s="4" t="inlineStr">
        <is>
          <t>IAM Operations</t>
        </is>
      </c>
      <c r="K9" s="4" t="n">
        <v>8</v>
      </c>
      <c r="L9" s="4" t="n">
        <v>2.2</v>
      </c>
      <c r="M9" s="4">
        <f>IF(OR(I9="Waiting Approval",I9="In Progress"),"Pending",IF(L9&lt;=K9,"Yes","No"))</f>
        <v/>
      </c>
      <c r="N9" s="4" t="inlineStr">
        <is>
          <t>Role Change request aligned to Azure AD workflow.</t>
        </is>
      </c>
    </row>
    <row r="10">
      <c r="A10" s="4" t="inlineStr">
        <is>
          <t>REQ20008</t>
        </is>
      </c>
      <c r="B10" s="11" t="n">
        <v>46082.58333333334</v>
      </c>
      <c r="C10" s="4" t="inlineStr">
        <is>
          <t>Aarav Mehta</t>
        </is>
      </c>
      <c r="D10" s="4" t="inlineStr">
        <is>
          <t>Finance</t>
        </is>
      </c>
      <c r="E10" s="4" t="inlineStr">
        <is>
          <t>Role Change</t>
        </is>
      </c>
      <c r="F10" s="4" t="inlineStr">
        <is>
          <t>Azure AD</t>
        </is>
      </c>
      <c r="G10" s="4" t="inlineStr">
        <is>
          <t>Assign/remove application role</t>
        </is>
      </c>
      <c r="H10" s="4" t="inlineStr">
        <is>
          <t>Pending</t>
        </is>
      </c>
      <c r="I10" s="4" t="inlineStr">
        <is>
          <t>Waiting Approval</t>
        </is>
      </c>
      <c r="J10" s="4" t="inlineStr">
        <is>
          <t>IAM Operations</t>
        </is>
      </c>
      <c r="K10" s="4" t="n">
        <v>8</v>
      </c>
      <c r="L10" s="4" t="n"/>
      <c r="M10" s="4">
        <f>IF(OR(I10="Waiting Approval",I10="In Progress"),"Pending",IF(L10&lt;=K10,"Yes","No"))</f>
        <v/>
      </c>
      <c r="N10" s="4" t="inlineStr">
        <is>
          <t>Role Change request aligned to Azure AD workflow.</t>
        </is>
      </c>
    </row>
    <row r="11">
      <c r="A11" s="4" t="inlineStr">
        <is>
          <t>REQ20009</t>
        </is>
      </c>
      <c r="B11" s="11" t="n">
        <v>46037.16666666666</v>
      </c>
      <c r="C11" s="4" t="inlineStr">
        <is>
          <t>Arjun Das</t>
        </is>
      </c>
      <c r="D11" s="4" t="inlineStr">
        <is>
          <t>Sales</t>
        </is>
      </c>
      <c r="E11" s="4" t="inlineStr">
        <is>
          <t>MFA Enrollment</t>
        </is>
      </c>
      <c r="F11" s="4" t="inlineStr">
        <is>
          <t>Okta</t>
        </is>
      </c>
      <c r="G11" s="4" t="inlineStr">
        <is>
          <t>Enroll user in MFA factor</t>
        </is>
      </c>
      <c r="H11" s="4" t="inlineStr">
        <is>
          <t>Pending</t>
        </is>
      </c>
      <c r="I11" s="4" t="inlineStr">
        <is>
          <t>Waiting Approval</t>
        </is>
      </c>
      <c r="J11" s="4" t="inlineStr">
        <is>
          <t>IAM Operations</t>
        </is>
      </c>
      <c r="K11" s="4" t="n">
        <v>4</v>
      </c>
      <c r="L11" s="4" t="n"/>
      <c r="M11" s="4">
        <f>IF(OR(I11="Waiting Approval",I11="In Progress"),"Pending",IF(L11&lt;=K11,"Yes","No"))</f>
        <v/>
      </c>
      <c r="N11" s="4" t="inlineStr">
        <is>
          <t>MFA Enrollment request aligned to Okta workflow.</t>
        </is>
      </c>
    </row>
    <row r="12">
      <c r="A12" s="4" t="inlineStr">
        <is>
          <t>REQ20010</t>
        </is>
      </c>
      <c r="B12" s="11" t="n">
        <v>46033.41666666666</v>
      </c>
      <c r="C12" s="4" t="inlineStr">
        <is>
          <t>Kiran Kapoor</t>
        </is>
      </c>
      <c r="D12" s="4" t="inlineStr">
        <is>
          <t>Procurement</t>
        </is>
      </c>
      <c r="E12" s="4" t="inlineStr">
        <is>
          <t>Password Reset</t>
        </is>
      </c>
      <c r="F12" s="4" t="inlineStr">
        <is>
          <t>Active Directory</t>
        </is>
      </c>
      <c r="G12" s="4" t="inlineStr">
        <is>
          <t>Reset password and verify login</t>
        </is>
      </c>
      <c r="H12" s="4" t="inlineStr">
        <is>
          <t>Approved</t>
        </is>
      </c>
      <c r="I12" s="4" t="inlineStr">
        <is>
          <t>Completed</t>
        </is>
      </c>
      <c r="J12" s="4" t="inlineStr">
        <is>
          <t>Service Desk</t>
        </is>
      </c>
      <c r="K12" s="4" t="n">
        <v>4</v>
      </c>
      <c r="L12" s="4" t="n">
        <v>4.8</v>
      </c>
      <c r="M12" s="4">
        <f>IF(OR(I12="Waiting Approval",I12="In Progress"),"Pending",IF(L12&lt;=K12,"Yes","No"))</f>
        <v/>
      </c>
      <c r="N12" s="4" t="inlineStr">
        <is>
          <t>Password Reset request aligned to Active Directory workflow.</t>
        </is>
      </c>
    </row>
    <row r="13">
      <c r="A13" s="4" t="inlineStr">
        <is>
          <t>REQ20011</t>
        </is>
      </c>
      <c r="B13" s="11" t="n">
        <v>46088.125</v>
      </c>
      <c r="C13" s="4" t="inlineStr">
        <is>
          <t>Divya Nair</t>
        </is>
      </c>
      <c r="D13" s="4" t="inlineStr">
        <is>
          <t>HR</t>
        </is>
      </c>
      <c r="E13" s="4" t="inlineStr">
        <is>
          <t>Mailbox Enablement</t>
        </is>
      </c>
      <c r="F13" s="4" t="inlineStr">
        <is>
          <t>Azure AD</t>
        </is>
      </c>
      <c r="G13" s="4" t="inlineStr">
        <is>
          <t>Apply productivity license</t>
        </is>
      </c>
      <c r="H13" s="4" t="inlineStr">
        <is>
          <t>Approved</t>
        </is>
      </c>
      <c r="I13" s="4" t="inlineStr">
        <is>
          <t>Completed</t>
        </is>
      </c>
      <c r="J13" s="4" t="inlineStr">
        <is>
          <t>IAM Operations</t>
        </is>
      </c>
      <c r="K13" s="4" t="n">
        <v>8</v>
      </c>
      <c r="L13" s="4" t="n">
        <v>4.8</v>
      </c>
      <c r="M13" s="4">
        <f>IF(OR(I13="Waiting Approval",I13="In Progress"),"Pending",IF(L13&lt;=K13,"Yes","No"))</f>
        <v/>
      </c>
      <c r="N13" s="4" t="inlineStr">
        <is>
          <t>Mailbox Enablement request aligned to Azure AD workflow.</t>
        </is>
      </c>
    </row>
    <row r="14">
      <c r="A14" s="4" t="inlineStr">
        <is>
          <t>REQ20012</t>
        </is>
      </c>
      <c r="B14" s="11" t="n">
        <v>46065.41666666666</v>
      </c>
      <c r="C14" s="4" t="inlineStr">
        <is>
          <t>Kiran Kumar</t>
        </is>
      </c>
      <c r="D14" s="4" t="inlineStr">
        <is>
          <t>Procurement</t>
        </is>
      </c>
      <c r="E14" s="4" t="inlineStr">
        <is>
          <t>User Onboarding</t>
        </is>
      </c>
      <c r="F14" s="4" t="inlineStr">
        <is>
          <t>Azure AD</t>
        </is>
      </c>
      <c r="G14" s="4" t="inlineStr">
        <is>
          <t>Create user account + baseline group membership</t>
        </is>
      </c>
      <c r="H14" s="4" t="inlineStr">
        <is>
          <t>Approved</t>
        </is>
      </c>
      <c r="I14" s="4" t="inlineStr">
        <is>
          <t>Completed</t>
        </is>
      </c>
      <c r="J14" s="4" t="inlineStr">
        <is>
          <t>IAM Operations</t>
        </is>
      </c>
      <c r="K14" s="4" t="n">
        <v>8</v>
      </c>
      <c r="L14" s="4" t="n">
        <v>6.6</v>
      </c>
      <c r="M14" s="4">
        <f>IF(OR(I14="Waiting Approval",I14="In Progress"),"Pending",IF(L14&lt;=K14,"Yes","No"))</f>
        <v/>
      </c>
      <c r="N14" s="4" t="inlineStr">
        <is>
          <t>User Onboarding request aligned to Azure AD workflow.</t>
        </is>
      </c>
    </row>
    <row r="15">
      <c r="A15" s="4" t="inlineStr">
        <is>
          <t>REQ20013</t>
        </is>
      </c>
      <c r="B15" s="11" t="n">
        <v>46055.45833333334</v>
      </c>
      <c r="C15" s="4" t="inlineStr">
        <is>
          <t>Sanjay Iyer</t>
        </is>
      </c>
      <c r="D15" s="4" t="inlineStr">
        <is>
          <t>Sales</t>
        </is>
      </c>
      <c r="E15" s="4" t="inlineStr">
        <is>
          <t>Role Change</t>
        </is>
      </c>
      <c r="F15" s="4" t="inlineStr">
        <is>
          <t>Azure AD</t>
        </is>
      </c>
      <c r="G15" s="4" t="inlineStr">
        <is>
          <t>Assign/remove application role</t>
        </is>
      </c>
      <c r="H15" s="4" t="inlineStr">
        <is>
          <t>Approved</t>
        </is>
      </c>
      <c r="I15" s="4" t="inlineStr">
        <is>
          <t>Completed</t>
        </is>
      </c>
      <c r="J15" s="4" t="inlineStr">
        <is>
          <t>IAM Operations</t>
        </is>
      </c>
      <c r="K15" s="4" t="n">
        <v>8</v>
      </c>
      <c r="L15" s="4" t="n">
        <v>1.3</v>
      </c>
      <c r="M15" s="4">
        <f>IF(OR(I15="Waiting Approval",I15="In Progress"),"Pending",IF(L15&lt;=K15,"Yes","No"))</f>
        <v/>
      </c>
      <c r="N15" s="4" t="inlineStr">
        <is>
          <t>Role Change request aligned to Azure AD workflow.</t>
        </is>
      </c>
    </row>
    <row r="16">
      <c r="A16" s="4" t="inlineStr">
        <is>
          <t>REQ20014</t>
        </is>
      </c>
      <c r="B16" s="11" t="n">
        <v>46042.33333333334</v>
      </c>
      <c r="C16" s="4" t="inlineStr">
        <is>
          <t>Sanjay Nair</t>
        </is>
      </c>
      <c r="D16" s="4" t="inlineStr">
        <is>
          <t>IT</t>
        </is>
      </c>
      <c r="E16" s="4" t="inlineStr">
        <is>
          <t>User Offboarding</t>
        </is>
      </c>
      <c r="F16" s="4" t="inlineStr">
        <is>
          <t>Active Directory</t>
        </is>
      </c>
      <c r="G16" s="4" t="inlineStr">
        <is>
          <t>Disable account + revoke sessions</t>
        </is>
      </c>
      <c r="H16" s="4" t="inlineStr">
        <is>
          <t>Pending</t>
        </is>
      </c>
      <c r="I16" s="4" t="inlineStr">
        <is>
          <t>Waiting Approval</t>
        </is>
      </c>
      <c r="J16" s="4" t="inlineStr">
        <is>
          <t>IAM Operations</t>
        </is>
      </c>
      <c r="K16" s="4" t="n">
        <v>4</v>
      </c>
      <c r="L16" s="4" t="n"/>
      <c r="M16" s="4">
        <f>IF(OR(I16="Waiting Approval",I16="In Progress"),"Pending",IF(L16&lt;=K16,"Yes","No"))</f>
        <v/>
      </c>
      <c r="N16" s="4" t="inlineStr">
        <is>
          <t>User Offboarding request aligned to Active Directory workflow.</t>
        </is>
      </c>
    </row>
    <row r="17">
      <c r="A17" s="4" t="inlineStr">
        <is>
          <t>REQ20015</t>
        </is>
      </c>
      <c r="B17" s="11" t="n">
        <v>46074.04166666666</v>
      </c>
      <c r="C17" s="4" t="inlineStr">
        <is>
          <t>Divya Verma</t>
        </is>
      </c>
      <c r="D17" s="4" t="inlineStr">
        <is>
          <t>Sales</t>
        </is>
      </c>
      <c r="E17" s="4" t="inlineStr">
        <is>
          <t>User Offboarding</t>
        </is>
      </c>
      <c r="F17" s="4" t="inlineStr">
        <is>
          <t>Active Directory</t>
        </is>
      </c>
      <c r="G17" s="4" t="inlineStr">
        <is>
          <t>Disable account + revoke sessions</t>
        </is>
      </c>
      <c r="H17" s="4" t="inlineStr">
        <is>
          <t>Pending</t>
        </is>
      </c>
      <c r="I17" s="4" t="inlineStr">
        <is>
          <t>Waiting Approval</t>
        </is>
      </c>
      <c r="J17" s="4" t="inlineStr">
        <is>
          <t>IAM Operations</t>
        </is>
      </c>
      <c r="K17" s="4" t="n">
        <v>4</v>
      </c>
      <c r="L17" s="4" t="n"/>
      <c r="M17" s="4">
        <f>IF(OR(I17="Waiting Approval",I17="In Progress"),"Pending",IF(L17&lt;=K17,"Yes","No"))</f>
        <v/>
      </c>
      <c r="N17" s="4" t="inlineStr">
        <is>
          <t>User Offboarding request aligned to Active Directory workflow.</t>
        </is>
      </c>
    </row>
    <row r="18">
      <c r="A18" s="4" t="inlineStr">
        <is>
          <t>REQ20016</t>
        </is>
      </c>
      <c r="B18" s="11" t="n">
        <v>46067.83333333334</v>
      </c>
      <c r="C18" s="4" t="inlineStr">
        <is>
          <t>Vikram Rao</t>
        </is>
      </c>
      <c r="D18" s="4" t="inlineStr">
        <is>
          <t>HR</t>
        </is>
      </c>
      <c r="E18" s="4" t="inlineStr">
        <is>
          <t>MFA Enrollment</t>
        </is>
      </c>
      <c r="F18" s="4" t="inlineStr">
        <is>
          <t>Okta</t>
        </is>
      </c>
      <c r="G18" s="4" t="inlineStr">
        <is>
          <t>Enroll user in MFA factor</t>
        </is>
      </c>
      <c r="H18" s="4" t="inlineStr">
        <is>
          <t>Approved</t>
        </is>
      </c>
      <c r="I18" s="4" t="inlineStr">
        <is>
          <t>Completed</t>
        </is>
      </c>
      <c r="J18" s="4" t="inlineStr">
        <is>
          <t>IAM Operations</t>
        </is>
      </c>
      <c r="K18" s="4" t="n">
        <v>4</v>
      </c>
      <c r="L18" s="4" t="n">
        <v>2.8</v>
      </c>
      <c r="M18" s="4">
        <f>IF(OR(I18="Waiting Approval",I18="In Progress"),"Pending",IF(L18&lt;=K18,"Yes","No"))</f>
        <v/>
      </c>
      <c r="N18" s="4" t="inlineStr">
        <is>
          <t>MFA Enrollment request aligned to Okta workflow.</t>
        </is>
      </c>
    </row>
    <row r="19">
      <c r="A19" s="4" t="inlineStr">
        <is>
          <t>REQ20017</t>
        </is>
      </c>
      <c r="B19" s="11" t="n">
        <v>46046.66666666666</v>
      </c>
      <c r="C19" s="4" t="inlineStr">
        <is>
          <t>Ravi Patel</t>
        </is>
      </c>
      <c r="D19" s="4" t="inlineStr">
        <is>
          <t>HR</t>
        </is>
      </c>
      <c r="E19" s="4" t="inlineStr">
        <is>
          <t>User Onboarding</t>
        </is>
      </c>
      <c r="F19" s="4" t="inlineStr">
        <is>
          <t>Azure AD</t>
        </is>
      </c>
      <c r="G19" s="4" t="inlineStr">
        <is>
          <t>Create user account + baseline group membership</t>
        </is>
      </c>
      <c r="H19" s="4" t="inlineStr">
        <is>
          <t>Approved</t>
        </is>
      </c>
      <c r="I19" s="4" t="inlineStr">
        <is>
          <t>Completed</t>
        </is>
      </c>
      <c r="J19" s="4" t="inlineStr">
        <is>
          <t>IAM Operations</t>
        </is>
      </c>
      <c r="K19" s="4" t="n">
        <v>8</v>
      </c>
      <c r="L19" s="4" t="n">
        <v>2.7</v>
      </c>
      <c r="M19" s="4">
        <f>IF(OR(I19="Waiting Approval",I19="In Progress"),"Pending",IF(L19&lt;=K19,"Yes","No"))</f>
        <v/>
      </c>
      <c r="N19" s="4" t="inlineStr">
        <is>
          <t>User Onboarding request aligned to Azure AD workflow.</t>
        </is>
      </c>
    </row>
    <row r="20">
      <c r="A20" s="4" t="inlineStr">
        <is>
          <t>REQ20018</t>
        </is>
      </c>
      <c r="B20" s="11" t="n">
        <v>46030.95833333334</v>
      </c>
      <c r="C20" s="4" t="inlineStr">
        <is>
          <t>Karthik Rao</t>
        </is>
      </c>
      <c r="D20" s="4" t="inlineStr">
        <is>
          <t>Legal</t>
        </is>
      </c>
      <c r="E20" s="4" t="inlineStr">
        <is>
          <t>VPN Access</t>
        </is>
      </c>
      <c r="F20" s="4" t="inlineStr">
        <is>
          <t>VPN</t>
        </is>
      </c>
      <c r="G20" s="4" t="inlineStr">
        <is>
          <t>Provision VPN access</t>
        </is>
      </c>
      <c r="H20" s="4" t="inlineStr">
        <is>
          <t>Approved</t>
        </is>
      </c>
      <c r="I20" s="4" t="inlineStr">
        <is>
          <t>Completed</t>
        </is>
      </c>
      <c r="J20" s="4" t="inlineStr">
        <is>
          <t>Service Desk</t>
        </is>
      </c>
      <c r="K20" s="4" t="n">
        <v>8</v>
      </c>
      <c r="L20" s="4" t="n">
        <v>5.1</v>
      </c>
      <c r="M20" s="4">
        <f>IF(OR(I20="Waiting Approval",I20="In Progress"),"Pending",IF(L20&lt;=K20,"Yes","No"))</f>
        <v/>
      </c>
      <c r="N20" s="4" t="inlineStr">
        <is>
          <t>VPN Access request aligned to VPN workflow.</t>
        </is>
      </c>
    </row>
    <row r="21">
      <c r="A21" s="4" t="inlineStr">
        <is>
          <t>REQ20019</t>
        </is>
      </c>
      <c r="B21" s="11" t="n">
        <v>46038.66666666666</v>
      </c>
      <c r="C21" s="4" t="inlineStr">
        <is>
          <t>Aarav Sharma</t>
        </is>
      </c>
      <c r="D21" s="4" t="inlineStr">
        <is>
          <t>Sales</t>
        </is>
      </c>
      <c r="E21" s="4" t="inlineStr">
        <is>
          <t>VPN Access</t>
        </is>
      </c>
      <c r="F21" s="4" t="inlineStr">
        <is>
          <t>VPN</t>
        </is>
      </c>
      <c r="G21" s="4" t="inlineStr">
        <is>
          <t>Provision VPN access</t>
        </is>
      </c>
      <c r="H21" s="4" t="inlineStr">
        <is>
          <t>Approved</t>
        </is>
      </c>
      <c r="I21" s="4" t="inlineStr">
        <is>
          <t>Completed</t>
        </is>
      </c>
      <c r="J21" s="4" t="inlineStr">
        <is>
          <t>Service Desk</t>
        </is>
      </c>
      <c r="K21" s="4" t="n">
        <v>8</v>
      </c>
      <c r="L21" s="4" t="n">
        <v>5.1</v>
      </c>
      <c r="M21" s="4">
        <f>IF(OR(I21="Waiting Approval",I21="In Progress"),"Pending",IF(L21&lt;=K21,"Yes","No"))</f>
        <v/>
      </c>
      <c r="N21" s="4" t="inlineStr">
        <is>
          <t>VPN Access request aligned to VPN workflow.</t>
        </is>
      </c>
    </row>
    <row r="22">
      <c r="A22" s="4" t="inlineStr">
        <is>
          <t>REQ20020</t>
        </is>
      </c>
      <c r="B22" s="11" t="n">
        <v>46078</v>
      </c>
      <c r="C22" s="4" t="inlineStr">
        <is>
          <t>Tarun Iyer</t>
        </is>
      </c>
      <c r="D22" s="4" t="inlineStr">
        <is>
          <t>HR</t>
        </is>
      </c>
      <c r="E22" s="4" t="inlineStr">
        <is>
          <t>User Offboarding</t>
        </is>
      </c>
      <c r="F22" s="4" t="inlineStr">
        <is>
          <t>Active Directory</t>
        </is>
      </c>
      <c r="G22" s="4" t="inlineStr">
        <is>
          <t>Disable account + revoke sessions</t>
        </is>
      </c>
      <c r="H22" s="4" t="inlineStr">
        <is>
          <t>Approved</t>
        </is>
      </c>
      <c r="I22" s="4" t="inlineStr">
        <is>
          <t>Completed</t>
        </is>
      </c>
      <c r="J22" s="4" t="inlineStr">
        <is>
          <t>IAM Operations</t>
        </is>
      </c>
      <c r="K22" s="4" t="n">
        <v>4</v>
      </c>
      <c r="L22" s="4" t="n">
        <v>3.2</v>
      </c>
      <c r="M22" s="4">
        <f>IF(OR(I22="Waiting Approval",I22="In Progress"),"Pending",IF(L22&lt;=K22,"Yes","No"))</f>
        <v/>
      </c>
      <c r="N22" s="4" t="inlineStr">
        <is>
          <t>User Offboarding request aligned to Active Directory workflow.</t>
        </is>
      </c>
    </row>
    <row r="23">
      <c r="A23" s="4" t="inlineStr">
        <is>
          <t>REQ20021</t>
        </is>
      </c>
      <c r="B23" s="11" t="n">
        <v>46056.625</v>
      </c>
      <c r="C23" s="4" t="inlineStr">
        <is>
          <t>Sneha Sharma</t>
        </is>
      </c>
      <c r="D23" s="4" t="inlineStr">
        <is>
          <t>Legal</t>
        </is>
      </c>
      <c r="E23" s="4" t="inlineStr">
        <is>
          <t>User Offboarding</t>
        </is>
      </c>
      <c r="F23" s="4" t="inlineStr">
        <is>
          <t>Active Directory</t>
        </is>
      </c>
      <c r="G23" s="4" t="inlineStr">
        <is>
          <t>Disable account + revoke sessions</t>
        </is>
      </c>
      <c r="H23" s="4" t="inlineStr">
        <is>
          <t>Approved</t>
        </is>
      </c>
      <c r="I23" s="4" t="inlineStr">
        <is>
          <t>Completed</t>
        </is>
      </c>
      <c r="J23" s="4" t="inlineStr">
        <is>
          <t>IAM Operations</t>
        </is>
      </c>
      <c r="K23" s="4" t="n">
        <v>4</v>
      </c>
      <c r="L23" s="4" t="n">
        <v>2.9</v>
      </c>
      <c r="M23" s="4">
        <f>IF(OR(I23="Waiting Approval",I23="In Progress"),"Pending",IF(L23&lt;=K23,"Yes","No"))</f>
        <v/>
      </c>
      <c r="N23" s="4" t="inlineStr">
        <is>
          <t>User Offboarding request aligned to Active Directory workflow.</t>
        </is>
      </c>
    </row>
    <row r="24">
      <c r="A24" s="4" t="inlineStr">
        <is>
          <t>REQ20022</t>
        </is>
      </c>
      <c r="B24" s="11" t="n">
        <v>46030.83333333334</v>
      </c>
      <c r="C24" s="4" t="inlineStr">
        <is>
          <t>Karthik Jain</t>
        </is>
      </c>
      <c r="D24" s="4" t="inlineStr">
        <is>
          <t>Customer Support</t>
        </is>
      </c>
      <c r="E24" s="4" t="inlineStr">
        <is>
          <t>Password Reset</t>
        </is>
      </c>
      <c r="F24" s="4" t="inlineStr">
        <is>
          <t>Active Directory</t>
        </is>
      </c>
      <c r="G24" s="4" t="inlineStr">
        <is>
          <t>Reset password and verify login</t>
        </is>
      </c>
      <c r="H24" s="4" t="inlineStr">
        <is>
          <t>Approved</t>
        </is>
      </c>
      <c r="I24" s="4" t="inlineStr">
        <is>
          <t>Completed</t>
        </is>
      </c>
      <c r="J24" s="4" t="inlineStr">
        <is>
          <t>Service Desk</t>
        </is>
      </c>
      <c r="K24" s="4" t="n">
        <v>4</v>
      </c>
      <c r="L24" s="4" t="n">
        <v>1.4</v>
      </c>
      <c r="M24" s="4">
        <f>IF(OR(I24="Waiting Approval",I24="In Progress"),"Pending",IF(L24&lt;=K24,"Yes","No"))</f>
        <v/>
      </c>
      <c r="N24" s="4" t="inlineStr">
        <is>
          <t>Password Reset request aligned to Active Directory workflow.</t>
        </is>
      </c>
    </row>
    <row r="25">
      <c r="A25" s="4" t="inlineStr">
        <is>
          <t>REQ20023</t>
        </is>
      </c>
      <c r="B25" s="11" t="n">
        <v>46031.25</v>
      </c>
      <c r="C25" s="4" t="inlineStr">
        <is>
          <t>Nikita Singh</t>
        </is>
      </c>
      <c r="D25" s="4" t="inlineStr">
        <is>
          <t>Sales</t>
        </is>
      </c>
      <c r="E25" s="4" t="inlineStr">
        <is>
          <t>VPN Access</t>
        </is>
      </c>
      <c r="F25" s="4" t="inlineStr">
        <is>
          <t>VPN</t>
        </is>
      </c>
      <c r="G25" s="4" t="inlineStr">
        <is>
          <t>Provision VPN access</t>
        </is>
      </c>
      <c r="H25" s="4" t="inlineStr">
        <is>
          <t>Approved</t>
        </is>
      </c>
      <c r="I25" s="4" t="inlineStr">
        <is>
          <t>In Progress</t>
        </is>
      </c>
      <c r="J25" s="4" t="inlineStr">
        <is>
          <t>Service Desk</t>
        </is>
      </c>
      <c r="K25" s="4" t="n">
        <v>8</v>
      </c>
      <c r="L25" s="4" t="n"/>
      <c r="M25" s="4">
        <f>IF(OR(I25="Waiting Approval",I25="In Progress"),"Pending",IF(L25&lt;=K25,"Yes","No"))</f>
        <v/>
      </c>
      <c r="N25" s="4" t="inlineStr">
        <is>
          <t>VPN Access request aligned to VPN workflow.</t>
        </is>
      </c>
    </row>
    <row r="26">
      <c r="A26" s="4" t="inlineStr">
        <is>
          <t>REQ20024</t>
        </is>
      </c>
      <c r="B26" s="11" t="n">
        <v>46075.29166666666</v>
      </c>
      <c r="C26" s="4" t="inlineStr">
        <is>
          <t>Isha Sharma</t>
        </is>
      </c>
      <c r="D26" s="4" t="inlineStr">
        <is>
          <t>HR</t>
        </is>
      </c>
      <c r="E26" s="4" t="inlineStr">
        <is>
          <t>Mailbox Enablement</t>
        </is>
      </c>
      <c r="F26" s="4" t="inlineStr">
        <is>
          <t>Azure AD</t>
        </is>
      </c>
      <c r="G26" s="4" t="inlineStr">
        <is>
          <t>Apply productivity license</t>
        </is>
      </c>
      <c r="H26" s="4" t="inlineStr">
        <is>
          <t>Approved</t>
        </is>
      </c>
      <c r="I26" s="4" t="inlineStr">
        <is>
          <t>In Progress</t>
        </is>
      </c>
      <c r="J26" s="4" t="inlineStr">
        <is>
          <t>IAM Operations</t>
        </is>
      </c>
      <c r="K26" s="4" t="n">
        <v>8</v>
      </c>
      <c r="L26" s="4" t="n"/>
      <c r="M26" s="4">
        <f>IF(OR(I26="Waiting Approval",I26="In Progress"),"Pending",IF(L26&lt;=K26,"Yes","No"))</f>
        <v/>
      </c>
      <c r="N26" s="4" t="inlineStr">
        <is>
          <t>Mailbox Enablement request aligned to Azure AD workflow.</t>
        </is>
      </c>
    </row>
    <row r="27">
      <c r="A27" s="4" t="inlineStr">
        <is>
          <t>REQ20025</t>
        </is>
      </c>
      <c r="B27" s="11" t="n">
        <v>46064.08333333334</v>
      </c>
      <c r="C27" s="4" t="inlineStr">
        <is>
          <t>Arjun Jain</t>
        </is>
      </c>
      <c r="D27" s="4" t="inlineStr">
        <is>
          <t>Sales</t>
        </is>
      </c>
      <c r="E27" s="4" t="inlineStr">
        <is>
          <t>VPN Access</t>
        </is>
      </c>
      <c r="F27" s="4" t="inlineStr">
        <is>
          <t>VPN</t>
        </is>
      </c>
      <c r="G27" s="4" t="inlineStr">
        <is>
          <t>Provision VPN access</t>
        </is>
      </c>
      <c r="H27" s="4" t="inlineStr">
        <is>
          <t>Approved</t>
        </is>
      </c>
      <c r="I27" s="4" t="inlineStr">
        <is>
          <t>In Progress</t>
        </is>
      </c>
      <c r="J27" s="4" t="inlineStr">
        <is>
          <t>Service Desk</t>
        </is>
      </c>
      <c r="K27" s="4" t="n">
        <v>8</v>
      </c>
      <c r="L27" s="4" t="n"/>
      <c r="M27" s="4">
        <f>IF(OR(I27="Waiting Approval",I27="In Progress"),"Pending",IF(L27&lt;=K27,"Yes","No"))</f>
        <v/>
      </c>
      <c r="N27" s="4" t="inlineStr">
        <is>
          <t>VPN Access request aligned to VPN workflow.</t>
        </is>
      </c>
    </row>
    <row r="28">
      <c r="A28" s="4" t="inlineStr">
        <is>
          <t>REQ20026</t>
        </is>
      </c>
      <c r="B28" s="11" t="n">
        <v>46069.25</v>
      </c>
      <c r="C28" s="4" t="inlineStr">
        <is>
          <t>Lavanya Verma</t>
        </is>
      </c>
      <c r="D28" s="4" t="inlineStr">
        <is>
          <t>Legal</t>
        </is>
      </c>
      <c r="E28" s="4" t="inlineStr">
        <is>
          <t>Role Change</t>
        </is>
      </c>
      <c r="F28" s="4" t="inlineStr">
        <is>
          <t>Azure AD</t>
        </is>
      </c>
      <c r="G28" s="4" t="inlineStr">
        <is>
          <t>Assign/remove application role</t>
        </is>
      </c>
      <c r="H28" s="4" t="inlineStr">
        <is>
          <t>Approved</t>
        </is>
      </c>
      <c r="I28" s="4" t="inlineStr">
        <is>
          <t>Completed</t>
        </is>
      </c>
      <c r="J28" s="4" t="inlineStr">
        <is>
          <t>IAM Operations</t>
        </is>
      </c>
      <c r="K28" s="4" t="n">
        <v>8</v>
      </c>
      <c r="L28" s="4" t="n">
        <v>2.8</v>
      </c>
      <c r="M28" s="4">
        <f>IF(OR(I28="Waiting Approval",I28="In Progress"),"Pending",IF(L28&lt;=K28,"Yes","No"))</f>
        <v/>
      </c>
      <c r="N28" s="4" t="inlineStr">
        <is>
          <t>Role Change request aligned to Azure AD workflow.</t>
        </is>
      </c>
    </row>
    <row r="29">
      <c r="A29" s="4" t="inlineStr">
        <is>
          <t>REQ20027</t>
        </is>
      </c>
      <c r="B29" s="11" t="n">
        <v>46030.83333333334</v>
      </c>
      <c r="C29" s="4" t="inlineStr">
        <is>
          <t>Vikram Sharma</t>
        </is>
      </c>
      <c r="D29" s="4" t="inlineStr">
        <is>
          <t>Legal</t>
        </is>
      </c>
      <c r="E29" s="4" t="inlineStr">
        <is>
          <t>SharePoint Access</t>
        </is>
      </c>
      <c r="F29" s="4" t="inlineStr">
        <is>
          <t>SharePoint</t>
        </is>
      </c>
      <c r="G29" s="4" t="inlineStr">
        <is>
          <t>Add to site permissions group</t>
        </is>
      </c>
      <c r="H29" s="4" t="inlineStr">
        <is>
          <t>Approved</t>
        </is>
      </c>
      <c r="I29" s="4" t="inlineStr">
        <is>
          <t>Completed</t>
        </is>
      </c>
      <c r="J29" s="4" t="inlineStr">
        <is>
          <t>Collaboration Support</t>
        </is>
      </c>
      <c r="K29" s="4" t="n">
        <v>8</v>
      </c>
      <c r="L29" s="4" t="n">
        <v>5.3</v>
      </c>
      <c r="M29" s="4">
        <f>IF(OR(I29="Waiting Approval",I29="In Progress"),"Pending",IF(L29&lt;=K29,"Yes","No"))</f>
        <v/>
      </c>
      <c r="N29" s="4" t="inlineStr">
        <is>
          <t>SharePoint Access request aligned to SharePoint workflow.</t>
        </is>
      </c>
    </row>
    <row r="30">
      <c r="A30" s="4" t="inlineStr">
        <is>
          <t>REQ20028</t>
        </is>
      </c>
      <c r="B30" s="11" t="n">
        <v>46073.83333333334</v>
      </c>
      <c r="C30" s="4" t="inlineStr">
        <is>
          <t>Priya Verma</t>
        </is>
      </c>
      <c r="D30" s="4" t="inlineStr">
        <is>
          <t>Sales</t>
        </is>
      </c>
      <c r="E30" s="4" t="inlineStr">
        <is>
          <t>MFA Enrollment</t>
        </is>
      </c>
      <c r="F30" s="4" t="inlineStr">
        <is>
          <t>Okta</t>
        </is>
      </c>
      <c r="G30" s="4" t="inlineStr">
        <is>
          <t>Enroll user in MFA factor</t>
        </is>
      </c>
      <c r="H30" s="4" t="inlineStr">
        <is>
          <t>Pending</t>
        </is>
      </c>
      <c r="I30" s="4" t="inlineStr">
        <is>
          <t>Waiting Approval</t>
        </is>
      </c>
      <c r="J30" s="4" t="inlineStr">
        <is>
          <t>IAM Operations</t>
        </is>
      </c>
      <c r="K30" s="4" t="n">
        <v>4</v>
      </c>
      <c r="L30" s="4" t="n"/>
      <c r="M30" s="4">
        <f>IF(OR(I30="Waiting Approval",I30="In Progress"),"Pending",IF(L30&lt;=K30,"Yes","No"))</f>
        <v/>
      </c>
      <c r="N30" s="4" t="inlineStr">
        <is>
          <t>MFA Enrollment request aligned to Okta workflow.</t>
        </is>
      </c>
    </row>
    <row r="31">
      <c r="A31" s="4" t="inlineStr">
        <is>
          <t>REQ20029</t>
        </is>
      </c>
      <c r="B31" s="11" t="n">
        <v>46043.125</v>
      </c>
      <c r="C31" s="4" t="inlineStr">
        <is>
          <t>Neha Kumar</t>
        </is>
      </c>
      <c r="D31" s="4" t="inlineStr">
        <is>
          <t>IT</t>
        </is>
      </c>
      <c r="E31" s="4" t="inlineStr">
        <is>
          <t>Role Change</t>
        </is>
      </c>
      <c r="F31" s="4" t="inlineStr">
        <is>
          <t>Azure AD</t>
        </is>
      </c>
      <c r="G31" s="4" t="inlineStr">
        <is>
          <t>Assign/remove application role</t>
        </is>
      </c>
      <c r="H31" s="4" t="inlineStr">
        <is>
          <t>Approved</t>
        </is>
      </c>
      <c r="I31" s="4" t="inlineStr">
        <is>
          <t>Completed</t>
        </is>
      </c>
      <c r="J31" s="4" t="inlineStr">
        <is>
          <t>IAM Operations</t>
        </is>
      </c>
      <c r="K31" s="4" t="n">
        <v>8</v>
      </c>
      <c r="L31" s="4" t="n">
        <v>4.6</v>
      </c>
      <c r="M31" s="4">
        <f>IF(OR(I31="Waiting Approval",I31="In Progress"),"Pending",IF(L31&lt;=K31,"Yes","No"))</f>
        <v/>
      </c>
      <c r="N31" s="4" t="inlineStr">
        <is>
          <t>Role Change request aligned to Azure AD workflow.</t>
        </is>
      </c>
    </row>
    <row r="32">
      <c r="A32" s="4" t="inlineStr">
        <is>
          <t>REQ20030</t>
        </is>
      </c>
      <c r="B32" s="11" t="n">
        <v>46076.375</v>
      </c>
      <c r="C32" s="4" t="inlineStr">
        <is>
          <t>Arjun Rao</t>
        </is>
      </c>
      <c r="D32" s="4" t="inlineStr">
        <is>
          <t>Legal</t>
        </is>
      </c>
      <c r="E32" s="4" t="inlineStr">
        <is>
          <t>VPN Access</t>
        </is>
      </c>
      <c r="F32" s="4" t="inlineStr">
        <is>
          <t>VPN</t>
        </is>
      </c>
      <c r="G32" s="4" t="inlineStr">
        <is>
          <t>Provision VPN access</t>
        </is>
      </c>
      <c r="H32" s="4" t="inlineStr">
        <is>
          <t>Approved</t>
        </is>
      </c>
      <c r="I32" s="4" t="inlineStr">
        <is>
          <t>Completed</t>
        </is>
      </c>
      <c r="J32" s="4" t="inlineStr">
        <is>
          <t>Service Desk</t>
        </is>
      </c>
      <c r="K32" s="4" t="n">
        <v>8</v>
      </c>
      <c r="L32" s="4" t="n">
        <v>2.2</v>
      </c>
      <c r="M32" s="4">
        <f>IF(OR(I32="Waiting Approval",I32="In Progress"),"Pending",IF(L32&lt;=K32,"Yes","No"))</f>
        <v/>
      </c>
      <c r="N32" s="4" t="inlineStr">
        <is>
          <t>VPN Access request aligned to VPN workflow.</t>
        </is>
      </c>
    </row>
    <row r="33">
      <c r="A33" s="4" t="inlineStr">
        <is>
          <t>REQ20031</t>
        </is>
      </c>
      <c r="B33" s="11" t="n">
        <v>46030</v>
      </c>
      <c r="C33" s="4" t="inlineStr">
        <is>
          <t>Manoj Nair</t>
        </is>
      </c>
      <c r="D33" s="4" t="inlineStr">
        <is>
          <t>Finance</t>
        </is>
      </c>
      <c r="E33" s="4" t="inlineStr">
        <is>
          <t>SharePoint Access</t>
        </is>
      </c>
      <c r="F33" s="4" t="inlineStr">
        <is>
          <t>SharePoint</t>
        </is>
      </c>
      <c r="G33" s="4" t="inlineStr">
        <is>
          <t>Add to site permissions group</t>
        </is>
      </c>
      <c r="H33" s="4" t="inlineStr">
        <is>
          <t>Approved</t>
        </is>
      </c>
      <c r="I33" s="4" t="inlineStr">
        <is>
          <t>Completed</t>
        </is>
      </c>
      <c r="J33" s="4" t="inlineStr">
        <is>
          <t>Collaboration Support</t>
        </is>
      </c>
      <c r="K33" s="4" t="n">
        <v>8</v>
      </c>
      <c r="L33" s="4" t="n">
        <v>1.8</v>
      </c>
      <c r="M33" s="4">
        <f>IF(OR(I33="Waiting Approval",I33="In Progress"),"Pending",IF(L33&lt;=K33,"Yes","No"))</f>
        <v/>
      </c>
      <c r="N33" s="4" t="inlineStr">
        <is>
          <t>SharePoint Access request aligned to SharePoint workflow.</t>
        </is>
      </c>
    </row>
    <row r="34">
      <c r="A34" s="4" t="inlineStr">
        <is>
          <t>REQ20032</t>
        </is>
      </c>
      <c r="B34" s="11" t="n">
        <v>46033.375</v>
      </c>
      <c r="C34" s="4" t="inlineStr">
        <is>
          <t>Aarav Patel</t>
        </is>
      </c>
      <c r="D34" s="4" t="inlineStr">
        <is>
          <t>Operations</t>
        </is>
      </c>
      <c r="E34" s="4" t="inlineStr">
        <is>
          <t>Role Change</t>
        </is>
      </c>
      <c r="F34" s="4" t="inlineStr">
        <is>
          <t>Azure AD</t>
        </is>
      </c>
      <c r="G34" s="4" t="inlineStr">
        <is>
          <t>Assign/remove application role</t>
        </is>
      </c>
      <c r="H34" s="4" t="inlineStr">
        <is>
          <t>Approved</t>
        </is>
      </c>
      <c r="I34" s="4" t="inlineStr">
        <is>
          <t>Completed</t>
        </is>
      </c>
      <c r="J34" s="4" t="inlineStr">
        <is>
          <t>IAM Operations</t>
        </is>
      </c>
      <c r="K34" s="4" t="n">
        <v>8</v>
      </c>
      <c r="L34" s="4" t="n">
        <v>7.4</v>
      </c>
      <c r="M34" s="4">
        <f>IF(OR(I34="Waiting Approval",I34="In Progress"),"Pending",IF(L34&lt;=K34,"Yes","No"))</f>
        <v/>
      </c>
      <c r="N34" s="4" t="inlineStr">
        <is>
          <t>Role Change request aligned to Azure AD workflow.</t>
        </is>
      </c>
    </row>
    <row r="35">
      <c r="A35" s="4" t="inlineStr">
        <is>
          <t>REQ20033</t>
        </is>
      </c>
      <c r="B35" s="11" t="n">
        <v>46078.33333333334</v>
      </c>
      <c r="C35" s="4" t="inlineStr">
        <is>
          <t>Sneha Mehta</t>
        </is>
      </c>
      <c r="D35" s="4" t="inlineStr">
        <is>
          <t>Procurement</t>
        </is>
      </c>
      <c r="E35" s="4" t="inlineStr">
        <is>
          <t>Mailbox Enablement</t>
        </is>
      </c>
      <c r="F35" s="4" t="inlineStr">
        <is>
          <t>Azure AD</t>
        </is>
      </c>
      <c r="G35" s="4" t="inlineStr">
        <is>
          <t>Apply productivity license</t>
        </is>
      </c>
      <c r="H35" s="4" t="inlineStr">
        <is>
          <t>Approved</t>
        </is>
      </c>
      <c r="I35" s="4" t="inlineStr">
        <is>
          <t>Completed</t>
        </is>
      </c>
      <c r="J35" s="4" t="inlineStr">
        <is>
          <t>IAM Operations</t>
        </is>
      </c>
      <c r="K35" s="4" t="n">
        <v>8</v>
      </c>
      <c r="L35" s="4" t="n">
        <v>3.7</v>
      </c>
      <c r="M35" s="4">
        <f>IF(OR(I35="Waiting Approval",I35="In Progress"),"Pending",IF(L35&lt;=K35,"Yes","No"))</f>
        <v/>
      </c>
      <c r="N35" s="4" t="inlineStr">
        <is>
          <t>Mailbox Enablement request aligned to Azure AD workflow.</t>
        </is>
      </c>
    </row>
    <row r="36">
      <c r="A36" s="4" t="inlineStr">
        <is>
          <t>REQ20034</t>
        </is>
      </c>
      <c r="B36" s="11" t="n">
        <v>46083.70833333334</v>
      </c>
      <c r="C36" s="4" t="inlineStr">
        <is>
          <t>Ravi Patel</t>
        </is>
      </c>
      <c r="D36" s="4" t="inlineStr">
        <is>
          <t>IT</t>
        </is>
      </c>
      <c r="E36" s="4" t="inlineStr">
        <is>
          <t>Password Reset</t>
        </is>
      </c>
      <c r="F36" s="4" t="inlineStr">
        <is>
          <t>Active Directory</t>
        </is>
      </c>
      <c r="G36" s="4" t="inlineStr">
        <is>
          <t>Reset password and verify login</t>
        </is>
      </c>
      <c r="H36" s="4" t="inlineStr">
        <is>
          <t>Approved</t>
        </is>
      </c>
      <c r="I36" s="4" t="inlineStr">
        <is>
          <t>Completed</t>
        </is>
      </c>
      <c r="J36" s="4" t="inlineStr">
        <is>
          <t>Service Desk</t>
        </is>
      </c>
      <c r="K36" s="4" t="n">
        <v>4</v>
      </c>
      <c r="L36" s="4" t="n">
        <v>1.5</v>
      </c>
      <c r="M36" s="4">
        <f>IF(OR(I36="Waiting Approval",I36="In Progress"),"Pending",IF(L36&lt;=K36,"Yes","No"))</f>
        <v/>
      </c>
      <c r="N36" s="4" t="inlineStr">
        <is>
          <t>Password Reset request aligned to Active Directory workflow.</t>
        </is>
      </c>
    </row>
    <row r="37">
      <c r="A37" s="4" t="inlineStr">
        <is>
          <t>REQ20035</t>
        </is>
      </c>
      <c r="B37" s="11" t="n">
        <v>46090.5</v>
      </c>
      <c r="C37" s="4" t="inlineStr">
        <is>
          <t>Aarav Kapoor</t>
        </is>
      </c>
      <c r="D37" s="4" t="inlineStr">
        <is>
          <t>Customer Support</t>
        </is>
      </c>
      <c r="E37" s="4" t="inlineStr">
        <is>
          <t>VPN Access</t>
        </is>
      </c>
      <c r="F37" s="4" t="inlineStr">
        <is>
          <t>VPN</t>
        </is>
      </c>
      <c r="G37" s="4" t="inlineStr">
        <is>
          <t>Provision VPN access</t>
        </is>
      </c>
      <c r="H37" s="4" t="inlineStr">
        <is>
          <t>Approved</t>
        </is>
      </c>
      <c r="I37" s="4" t="inlineStr">
        <is>
          <t>Completed</t>
        </is>
      </c>
      <c r="J37" s="4" t="inlineStr">
        <is>
          <t>Service Desk</t>
        </is>
      </c>
      <c r="K37" s="4" t="n">
        <v>8</v>
      </c>
      <c r="L37" s="4" t="n">
        <v>6.5</v>
      </c>
      <c r="M37" s="4">
        <f>IF(OR(I37="Waiting Approval",I37="In Progress"),"Pending",IF(L37&lt;=K37,"Yes","No"))</f>
        <v/>
      </c>
      <c r="N37" s="4" t="inlineStr">
        <is>
          <t>VPN Access request aligned to VPN workflow.</t>
        </is>
      </c>
    </row>
    <row r="38">
      <c r="A38" s="4" t="inlineStr">
        <is>
          <t>REQ20036</t>
        </is>
      </c>
      <c r="B38" s="11" t="n">
        <v>46082.875</v>
      </c>
      <c r="C38" s="4" t="inlineStr">
        <is>
          <t>Tarun Reddy</t>
        </is>
      </c>
      <c r="D38" s="4" t="inlineStr">
        <is>
          <t>Legal</t>
        </is>
      </c>
      <c r="E38" s="4" t="inlineStr">
        <is>
          <t>SharePoint Access</t>
        </is>
      </c>
      <c r="F38" s="4" t="inlineStr">
        <is>
          <t>SharePoint</t>
        </is>
      </c>
      <c r="G38" s="4" t="inlineStr">
        <is>
          <t>Add to site permissions group</t>
        </is>
      </c>
      <c r="H38" s="4" t="inlineStr">
        <is>
          <t>Approved</t>
        </is>
      </c>
      <c r="I38" s="4" t="inlineStr">
        <is>
          <t>Completed</t>
        </is>
      </c>
      <c r="J38" s="4" t="inlineStr">
        <is>
          <t>Collaboration Support</t>
        </is>
      </c>
      <c r="K38" s="4" t="n">
        <v>8</v>
      </c>
      <c r="L38" s="4" t="n">
        <v>7.7</v>
      </c>
      <c r="M38" s="4">
        <f>IF(OR(I38="Waiting Approval",I38="In Progress"),"Pending",IF(L38&lt;=K38,"Yes","No"))</f>
        <v/>
      </c>
      <c r="N38" s="4" t="inlineStr">
        <is>
          <t>SharePoint Access request aligned to SharePoint workflow.</t>
        </is>
      </c>
    </row>
    <row r="39">
      <c r="A39" s="4" t="inlineStr">
        <is>
          <t>REQ20037</t>
        </is>
      </c>
      <c r="B39" s="11" t="n">
        <v>46082.58333333334</v>
      </c>
      <c r="C39" s="4" t="inlineStr">
        <is>
          <t>Rahul Rao</t>
        </is>
      </c>
      <c r="D39" s="4" t="inlineStr">
        <is>
          <t>IT</t>
        </is>
      </c>
      <c r="E39" s="4" t="inlineStr">
        <is>
          <t>VPN Access</t>
        </is>
      </c>
      <c r="F39" s="4" t="inlineStr">
        <is>
          <t>VPN</t>
        </is>
      </c>
      <c r="G39" s="4" t="inlineStr">
        <is>
          <t>Provision VPN access</t>
        </is>
      </c>
      <c r="H39" s="4" t="inlineStr">
        <is>
          <t>Pending</t>
        </is>
      </c>
      <c r="I39" s="4" t="inlineStr">
        <is>
          <t>Waiting Approval</t>
        </is>
      </c>
      <c r="J39" s="4" t="inlineStr">
        <is>
          <t>Service Desk</t>
        </is>
      </c>
      <c r="K39" s="4" t="n">
        <v>8</v>
      </c>
      <c r="L39" s="4" t="n"/>
      <c r="M39" s="4">
        <f>IF(OR(I39="Waiting Approval",I39="In Progress"),"Pending",IF(L39&lt;=K39,"Yes","No"))</f>
        <v/>
      </c>
      <c r="N39" s="4" t="inlineStr">
        <is>
          <t>VPN Access request aligned to VPN workflow.</t>
        </is>
      </c>
    </row>
    <row r="40">
      <c r="A40" s="4" t="inlineStr">
        <is>
          <t>REQ20038</t>
        </is>
      </c>
      <c r="B40" s="11" t="n">
        <v>46050.95833333334</v>
      </c>
      <c r="C40" s="4" t="inlineStr">
        <is>
          <t>Arjun Kumar</t>
        </is>
      </c>
      <c r="D40" s="4" t="inlineStr">
        <is>
          <t>HR</t>
        </is>
      </c>
      <c r="E40" s="4" t="inlineStr">
        <is>
          <t>User Onboarding</t>
        </is>
      </c>
      <c r="F40" s="4" t="inlineStr">
        <is>
          <t>Azure AD</t>
        </is>
      </c>
      <c r="G40" s="4" t="inlineStr">
        <is>
          <t>Create user account + baseline group membership</t>
        </is>
      </c>
      <c r="H40" s="4" t="inlineStr">
        <is>
          <t>Approved</t>
        </is>
      </c>
      <c r="I40" s="4" t="inlineStr">
        <is>
          <t>Completed</t>
        </is>
      </c>
      <c r="J40" s="4" t="inlineStr">
        <is>
          <t>IAM Operations</t>
        </is>
      </c>
      <c r="K40" s="4" t="n">
        <v>8</v>
      </c>
      <c r="L40" s="4" t="n">
        <v>0.9</v>
      </c>
      <c r="M40" s="4">
        <f>IF(OR(I40="Waiting Approval",I40="In Progress"),"Pending",IF(L40&lt;=K40,"Yes","No"))</f>
        <v/>
      </c>
      <c r="N40" s="4" t="inlineStr">
        <is>
          <t>User Onboarding request aligned to Azure AD workflow.</t>
        </is>
      </c>
    </row>
    <row r="41">
      <c r="A41" s="4" t="inlineStr">
        <is>
          <t>REQ20039</t>
        </is>
      </c>
      <c r="B41" s="11" t="n">
        <v>46090.83333333334</v>
      </c>
      <c r="C41" s="4" t="inlineStr">
        <is>
          <t>Pooja Patel</t>
        </is>
      </c>
      <c r="D41" s="4" t="inlineStr">
        <is>
          <t>Customer Support</t>
        </is>
      </c>
      <c r="E41" s="4" t="inlineStr">
        <is>
          <t>Password Reset</t>
        </is>
      </c>
      <c r="F41" s="4" t="inlineStr">
        <is>
          <t>Active Directory</t>
        </is>
      </c>
      <c r="G41" s="4" t="inlineStr">
        <is>
          <t>Reset password and verify login</t>
        </is>
      </c>
      <c r="H41" s="4" t="inlineStr">
        <is>
          <t>Pending</t>
        </is>
      </c>
      <c r="I41" s="4" t="inlineStr">
        <is>
          <t>Waiting Approval</t>
        </is>
      </c>
      <c r="J41" s="4" t="inlineStr">
        <is>
          <t>Service Desk</t>
        </is>
      </c>
      <c r="K41" s="4" t="n">
        <v>4</v>
      </c>
      <c r="L41" s="4" t="n"/>
      <c r="M41" s="4">
        <f>IF(OR(I41="Waiting Approval",I41="In Progress"),"Pending",IF(L41&lt;=K41,"Yes","No"))</f>
        <v/>
      </c>
      <c r="N41" s="4" t="inlineStr">
        <is>
          <t>Password Reset request aligned to Active Directory workflow.</t>
        </is>
      </c>
    </row>
    <row r="42">
      <c r="A42" s="4" t="inlineStr">
        <is>
          <t>REQ20040</t>
        </is>
      </c>
      <c r="B42" s="11" t="n">
        <v>46058.29166666666</v>
      </c>
      <c r="C42" s="4" t="inlineStr">
        <is>
          <t>Lavanya Gupta</t>
        </is>
      </c>
      <c r="D42" s="4" t="inlineStr">
        <is>
          <t>HR</t>
        </is>
      </c>
      <c r="E42" s="4" t="inlineStr">
        <is>
          <t>Mailbox Enablement</t>
        </is>
      </c>
      <c r="F42" s="4" t="inlineStr">
        <is>
          <t>Azure AD</t>
        </is>
      </c>
      <c r="G42" s="4" t="inlineStr">
        <is>
          <t>Apply productivity license</t>
        </is>
      </c>
      <c r="H42" s="4" t="inlineStr">
        <is>
          <t>Pending</t>
        </is>
      </c>
      <c r="I42" s="4" t="inlineStr">
        <is>
          <t>Waiting Approval</t>
        </is>
      </c>
      <c r="J42" s="4" t="inlineStr">
        <is>
          <t>IAM Operations</t>
        </is>
      </c>
      <c r="K42" s="4" t="n">
        <v>8</v>
      </c>
      <c r="L42" s="4" t="n"/>
      <c r="M42" s="4">
        <f>IF(OR(I42="Waiting Approval",I42="In Progress"),"Pending",IF(L42&lt;=K42,"Yes","No"))</f>
        <v/>
      </c>
      <c r="N42" s="4" t="inlineStr">
        <is>
          <t>Mailbox Enablement request aligned to Azure AD workflow.</t>
        </is>
      </c>
    </row>
    <row r="43">
      <c r="A43" s="4" t="inlineStr">
        <is>
          <t>REQ20041</t>
        </is>
      </c>
      <c r="B43" s="11" t="n">
        <v>46042.20833333334</v>
      </c>
      <c r="C43" s="4" t="inlineStr">
        <is>
          <t>Sanjay Reddy</t>
        </is>
      </c>
      <c r="D43" s="4" t="inlineStr">
        <is>
          <t>Finance</t>
        </is>
      </c>
      <c r="E43" s="4" t="inlineStr">
        <is>
          <t>SharePoint Access</t>
        </is>
      </c>
      <c r="F43" s="4" t="inlineStr">
        <is>
          <t>SharePoint</t>
        </is>
      </c>
      <c r="G43" s="4" t="inlineStr">
        <is>
          <t>Add to site permissions group</t>
        </is>
      </c>
      <c r="H43" s="4" t="inlineStr">
        <is>
          <t>Approved</t>
        </is>
      </c>
      <c r="I43" s="4" t="inlineStr">
        <is>
          <t>Completed</t>
        </is>
      </c>
      <c r="J43" s="4" t="inlineStr">
        <is>
          <t>Collaboration Support</t>
        </is>
      </c>
      <c r="K43" s="4" t="n">
        <v>8</v>
      </c>
      <c r="L43" s="4" t="n">
        <v>3.7</v>
      </c>
      <c r="M43" s="4">
        <f>IF(OR(I43="Waiting Approval",I43="In Progress"),"Pending",IF(L43&lt;=K43,"Yes","No"))</f>
        <v/>
      </c>
      <c r="N43" s="4" t="inlineStr">
        <is>
          <t>SharePoint Access request aligned to SharePoint workflow.</t>
        </is>
      </c>
    </row>
    <row r="44">
      <c r="A44" s="4" t="inlineStr">
        <is>
          <t>REQ20042</t>
        </is>
      </c>
      <c r="B44" s="11" t="n">
        <v>46057.5</v>
      </c>
      <c r="C44" s="4" t="inlineStr">
        <is>
          <t>Neha Joshi</t>
        </is>
      </c>
      <c r="D44" s="4" t="inlineStr">
        <is>
          <t>Customer Support</t>
        </is>
      </c>
      <c r="E44" s="4" t="inlineStr">
        <is>
          <t>User Offboarding</t>
        </is>
      </c>
      <c r="F44" s="4" t="inlineStr">
        <is>
          <t>Active Directory</t>
        </is>
      </c>
      <c r="G44" s="4" t="inlineStr">
        <is>
          <t>Disable account + revoke sessions</t>
        </is>
      </c>
      <c r="H44" s="4" t="inlineStr">
        <is>
          <t>Approved</t>
        </is>
      </c>
      <c r="I44" s="4" t="inlineStr">
        <is>
          <t>Completed</t>
        </is>
      </c>
      <c r="J44" s="4" t="inlineStr">
        <is>
          <t>IAM Operations</t>
        </is>
      </c>
      <c r="K44" s="4" t="n">
        <v>4</v>
      </c>
      <c r="L44" s="4" t="n">
        <v>3.1</v>
      </c>
      <c r="M44" s="4">
        <f>IF(OR(I44="Waiting Approval",I44="In Progress"),"Pending",IF(L44&lt;=K44,"Yes","No"))</f>
        <v/>
      </c>
      <c r="N44" s="4" t="inlineStr">
        <is>
          <t>User Offboarding request aligned to Active Directory workflow.</t>
        </is>
      </c>
    </row>
    <row r="45">
      <c r="A45" s="4" t="inlineStr">
        <is>
          <t>REQ20043</t>
        </is>
      </c>
      <c r="B45" s="11" t="n">
        <v>46057.16666666666</v>
      </c>
      <c r="C45" s="4" t="inlineStr">
        <is>
          <t>Nikita Singh</t>
        </is>
      </c>
      <c r="D45" s="4" t="inlineStr">
        <is>
          <t>Legal</t>
        </is>
      </c>
      <c r="E45" s="4" t="inlineStr">
        <is>
          <t>User Offboarding</t>
        </is>
      </c>
      <c r="F45" s="4" t="inlineStr">
        <is>
          <t>Active Directory</t>
        </is>
      </c>
      <c r="G45" s="4" t="inlineStr">
        <is>
          <t>Disable account + revoke sessions</t>
        </is>
      </c>
      <c r="H45" s="4" t="inlineStr">
        <is>
          <t>Approved</t>
        </is>
      </c>
      <c r="I45" s="4" t="inlineStr">
        <is>
          <t>In Progress</t>
        </is>
      </c>
      <c r="J45" s="4" t="inlineStr">
        <is>
          <t>IAM Operations</t>
        </is>
      </c>
      <c r="K45" s="4" t="n">
        <v>4</v>
      </c>
      <c r="L45" s="4" t="n"/>
      <c r="M45" s="4">
        <f>IF(OR(I45="Waiting Approval",I45="In Progress"),"Pending",IF(L45&lt;=K45,"Yes","No"))</f>
        <v/>
      </c>
      <c r="N45" s="4" t="inlineStr">
        <is>
          <t>User Offboarding request aligned to Active Directory workflow.</t>
        </is>
      </c>
    </row>
    <row r="46">
      <c r="A46" s="4" t="inlineStr">
        <is>
          <t>REQ20044</t>
        </is>
      </c>
      <c r="B46" s="11" t="n">
        <v>46080.125</v>
      </c>
      <c r="C46" s="4" t="inlineStr">
        <is>
          <t>Pooja Patel</t>
        </is>
      </c>
      <c r="D46" s="4" t="inlineStr">
        <is>
          <t>Finance</t>
        </is>
      </c>
      <c r="E46" s="4" t="inlineStr">
        <is>
          <t>VPN Access</t>
        </is>
      </c>
      <c r="F46" s="4" t="inlineStr">
        <is>
          <t>VPN</t>
        </is>
      </c>
      <c r="G46" s="4" t="inlineStr">
        <is>
          <t>Provision VPN access</t>
        </is>
      </c>
      <c r="H46" s="4" t="inlineStr">
        <is>
          <t>Approved</t>
        </is>
      </c>
      <c r="I46" s="4" t="inlineStr">
        <is>
          <t>Completed</t>
        </is>
      </c>
      <c r="J46" s="4" t="inlineStr">
        <is>
          <t>Service Desk</t>
        </is>
      </c>
      <c r="K46" s="4" t="n">
        <v>8</v>
      </c>
      <c r="L46" s="4" t="n">
        <v>5.6</v>
      </c>
      <c r="M46" s="4">
        <f>IF(OR(I46="Waiting Approval",I46="In Progress"),"Pending",IF(L46&lt;=K46,"Yes","No"))</f>
        <v/>
      </c>
      <c r="N46" s="4" t="inlineStr">
        <is>
          <t>VPN Access request aligned to VPN workflow.</t>
        </is>
      </c>
    </row>
    <row r="47">
      <c r="A47" s="4" t="inlineStr">
        <is>
          <t>REQ20045</t>
        </is>
      </c>
      <c r="B47" s="11" t="n">
        <v>46084.66666666666</v>
      </c>
      <c r="C47" s="4" t="inlineStr">
        <is>
          <t>Ananya Iyer</t>
        </is>
      </c>
      <c r="D47" s="4" t="inlineStr">
        <is>
          <t>Sales</t>
        </is>
      </c>
      <c r="E47" s="4" t="inlineStr">
        <is>
          <t>MFA Enrollment</t>
        </is>
      </c>
      <c r="F47" s="4" t="inlineStr">
        <is>
          <t>Okta</t>
        </is>
      </c>
      <c r="G47" s="4" t="inlineStr">
        <is>
          <t>Enroll user in MFA factor</t>
        </is>
      </c>
      <c r="H47" s="4" t="inlineStr">
        <is>
          <t>Approved</t>
        </is>
      </c>
      <c r="I47" s="4" t="inlineStr">
        <is>
          <t>Completed</t>
        </is>
      </c>
      <c r="J47" s="4" t="inlineStr">
        <is>
          <t>IAM Operations</t>
        </is>
      </c>
      <c r="K47" s="4" t="n">
        <v>4</v>
      </c>
      <c r="L47" s="4" t="n">
        <v>2.1</v>
      </c>
      <c r="M47" s="4">
        <f>IF(OR(I47="Waiting Approval",I47="In Progress"),"Pending",IF(L47&lt;=K47,"Yes","No"))</f>
        <v/>
      </c>
      <c r="N47" s="4" t="inlineStr">
        <is>
          <t>MFA Enrollment request aligned to Okta workflow.</t>
        </is>
      </c>
    </row>
    <row r="48">
      <c r="A48" s="4" t="inlineStr">
        <is>
          <t>REQ20046</t>
        </is>
      </c>
      <c r="B48" s="11" t="n">
        <v>46059.08333333334</v>
      </c>
      <c r="C48" s="4" t="inlineStr">
        <is>
          <t>Aarav Gupta</t>
        </is>
      </c>
      <c r="D48" s="4" t="inlineStr">
        <is>
          <t>HR</t>
        </is>
      </c>
      <c r="E48" s="4" t="inlineStr">
        <is>
          <t>User Onboarding</t>
        </is>
      </c>
      <c r="F48" s="4" t="inlineStr">
        <is>
          <t>Azure AD</t>
        </is>
      </c>
      <c r="G48" s="4" t="inlineStr">
        <is>
          <t>Create user account + baseline group membership</t>
        </is>
      </c>
      <c r="H48" s="4" t="inlineStr">
        <is>
          <t>Approved</t>
        </is>
      </c>
      <c r="I48" s="4" t="inlineStr">
        <is>
          <t>In Progress</t>
        </is>
      </c>
      <c r="J48" s="4" t="inlineStr">
        <is>
          <t>IAM Operations</t>
        </is>
      </c>
      <c r="K48" s="4" t="n">
        <v>8</v>
      </c>
      <c r="L48" s="4" t="n"/>
      <c r="M48" s="4">
        <f>IF(OR(I48="Waiting Approval",I48="In Progress"),"Pending",IF(L48&lt;=K48,"Yes","No"))</f>
        <v/>
      </c>
      <c r="N48" s="4" t="inlineStr">
        <is>
          <t>User Onboarding request aligned to Azure AD workflow.</t>
        </is>
      </c>
    </row>
    <row r="49">
      <c r="A49" s="4" t="inlineStr">
        <is>
          <t>REQ20047</t>
        </is>
      </c>
      <c r="B49" s="11" t="n">
        <v>46036.58333333334</v>
      </c>
      <c r="C49" s="4" t="inlineStr">
        <is>
          <t>Aarav Kumar</t>
        </is>
      </c>
      <c r="D49" s="4" t="inlineStr">
        <is>
          <t>Operations</t>
        </is>
      </c>
      <c r="E49" s="4" t="inlineStr">
        <is>
          <t>SharePoint Access</t>
        </is>
      </c>
      <c r="F49" s="4" t="inlineStr">
        <is>
          <t>SharePoint</t>
        </is>
      </c>
      <c r="G49" s="4" t="inlineStr">
        <is>
          <t>Add to site permissions group</t>
        </is>
      </c>
      <c r="H49" s="4" t="inlineStr">
        <is>
          <t>Approved</t>
        </is>
      </c>
      <c r="I49" s="4" t="inlineStr">
        <is>
          <t>Completed</t>
        </is>
      </c>
      <c r="J49" s="4" t="inlineStr">
        <is>
          <t>Collaboration Support</t>
        </is>
      </c>
      <c r="K49" s="4" t="n">
        <v>8</v>
      </c>
      <c r="L49" s="4" t="n">
        <v>6.2</v>
      </c>
      <c r="M49" s="4">
        <f>IF(OR(I49="Waiting Approval",I49="In Progress"),"Pending",IF(L49&lt;=K49,"Yes","No"))</f>
        <v/>
      </c>
      <c r="N49" s="4" t="inlineStr">
        <is>
          <t>SharePoint Access request aligned to SharePoint workflow.</t>
        </is>
      </c>
    </row>
    <row r="50">
      <c r="A50" s="4" t="inlineStr">
        <is>
          <t>REQ20048</t>
        </is>
      </c>
      <c r="B50" s="11" t="n">
        <v>46070.04166666666</v>
      </c>
      <c r="C50" s="4" t="inlineStr">
        <is>
          <t>Vikram Reddy</t>
        </is>
      </c>
      <c r="D50" s="4" t="inlineStr">
        <is>
          <t>Customer Support</t>
        </is>
      </c>
      <c r="E50" s="4" t="inlineStr">
        <is>
          <t>Password Reset</t>
        </is>
      </c>
      <c r="F50" s="4" t="inlineStr">
        <is>
          <t>Active Directory</t>
        </is>
      </c>
      <c r="G50" s="4" t="inlineStr">
        <is>
          <t>Reset password and verify login</t>
        </is>
      </c>
      <c r="H50" s="4" t="inlineStr">
        <is>
          <t>Approved</t>
        </is>
      </c>
      <c r="I50" s="4" t="inlineStr">
        <is>
          <t>Completed</t>
        </is>
      </c>
      <c r="J50" s="4" t="inlineStr">
        <is>
          <t>Service Desk</t>
        </is>
      </c>
      <c r="K50" s="4" t="n">
        <v>4</v>
      </c>
      <c r="L50" s="4" t="n">
        <v>2</v>
      </c>
      <c r="M50" s="4">
        <f>IF(OR(I50="Waiting Approval",I50="In Progress"),"Pending",IF(L50&lt;=K50,"Yes","No"))</f>
        <v/>
      </c>
      <c r="N50" s="4" t="inlineStr">
        <is>
          <t>Password Reset request aligned to Active Directory workflow.</t>
        </is>
      </c>
    </row>
    <row r="51">
      <c r="A51" s="4" t="inlineStr">
        <is>
          <t>REQ20049</t>
        </is>
      </c>
      <c r="B51" s="11" t="n">
        <v>46065.83333333334</v>
      </c>
      <c r="C51" s="4" t="inlineStr">
        <is>
          <t>Sanjay Iyer</t>
        </is>
      </c>
      <c r="D51" s="4" t="inlineStr">
        <is>
          <t>Sales</t>
        </is>
      </c>
      <c r="E51" s="4" t="inlineStr">
        <is>
          <t>MFA Enrollment</t>
        </is>
      </c>
      <c r="F51" s="4" t="inlineStr">
        <is>
          <t>Okta</t>
        </is>
      </c>
      <c r="G51" s="4" t="inlineStr">
        <is>
          <t>Enroll user in MFA factor</t>
        </is>
      </c>
      <c r="H51" s="4" t="inlineStr">
        <is>
          <t>Approved</t>
        </is>
      </c>
      <c r="I51" s="4" t="inlineStr">
        <is>
          <t>Completed</t>
        </is>
      </c>
      <c r="J51" s="4" t="inlineStr">
        <is>
          <t>IAM Operations</t>
        </is>
      </c>
      <c r="K51" s="4" t="n">
        <v>4</v>
      </c>
      <c r="L51" s="4" t="n">
        <v>0.8</v>
      </c>
      <c r="M51" s="4">
        <f>IF(OR(I51="Waiting Approval",I51="In Progress"),"Pending",IF(L51&lt;=K51,"Yes","No"))</f>
        <v/>
      </c>
      <c r="N51" s="4" t="inlineStr">
        <is>
          <t>MFA Enrollment request aligned to Okta workflow.</t>
        </is>
      </c>
    </row>
    <row r="52">
      <c r="A52" s="4" t="inlineStr">
        <is>
          <t>REQ20050</t>
        </is>
      </c>
      <c r="B52" s="11" t="n">
        <v>46074.5</v>
      </c>
      <c r="C52" s="4" t="inlineStr">
        <is>
          <t>Pooja Verma</t>
        </is>
      </c>
      <c r="D52" s="4" t="inlineStr">
        <is>
          <t>Sales</t>
        </is>
      </c>
      <c r="E52" s="4" t="inlineStr">
        <is>
          <t>Role Change</t>
        </is>
      </c>
      <c r="F52" s="4" t="inlineStr">
        <is>
          <t>Azure AD</t>
        </is>
      </c>
      <c r="G52" s="4" t="inlineStr">
        <is>
          <t>Assign/remove application role</t>
        </is>
      </c>
      <c r="H52" s="4" t="inlineStr">
        <is>
          <t>Approved</t>
        </is>
      </c>
      <c r="I52" s="4" t="inlineStr">
        <is>
          <t>In Progress</t>
        </is>
      </c>
      <c r="J52" s="4" t="inlineStr">
        <is>
          <t>IAM Operations</t>
        </is>
      </c>
      <c r="K52" s="4" t="n">
        <v>8</v>
      </c>
      <c r="L52" s="4" t="n"/>
      <c r="M52" s="4">
        <f>IF(OR(I52="Waiting Approval",I52="In Progress"),"Pending",IF(L52&lt;=K52,"Yes","No"))</f>
        <v/>
      </c>
      <c r="N52" s="4" t="inlineStr">
        <is>
          <t>Role Change request aligned to Azure AD workflow.</t>
        </is>
      </c>
    </row>
    <row r="53">
      <c r="A53" s="4" t="inlineStr">
        <is>
          <t>REQ20051</t>
        </is>
      </c>
      <c r="B53" s="11" t="n">
        <v>46074</v>
      </c>
      <c r="C53" s="4" t="inlineStr">
        <is>
          <t>Isha Singh</t>
        </is>
      </c>
      <c r="D53" s="4" t="inlineStr">
        <is>
          <t>Sales</t>
        </is>
      </c>
      <c r="E53" s="4" t="inlineStr">
        <is>
          <t>Mailbox Enablement</t>
        </is>
      </c>
      <c r="F53" s="4" t="inlineStr">
        <is>
          <t>Azure AD</t>
        </is>
      </c>
      <c r="G53" s="4" t="inlineStr">
        <is>
          <t>Apply productivity license</t>
        </is>
      </c>
      <c r="H53" s="4" t="inlineStr">
        <is>
          <t>Pending</t>
        </is>
      </c>
      <c r="I53" s="4" t="inlineStr">
        <is>
          <t>Waiting Approval</t>
        </is>
      </c>
      <c r="J53" s="4" t="inlineStr">
        <is>
          <t>IAM Operations</t>
        </is>
      </c>
      <c r="K53" s="4" t="n">
        <v>8</v>
      </c>
      <c r="L53" s="4" t="n"/>
      <c r="M53" s="4">
        <f>IF(OR(I53="Waiting Approval",I53="In Progress"),"Pending",IF(L53&lt;=K53,"Yes","No"))</f>
        <v/>
      </c>
      <c r="N53" s="4" t="inlineStr">
        <is>
          <t>Mailbox Enablement request aligned to Azure AD workflow.</t>
        </is>
      </c>
    </row>
    <row r="54">
      <c r="A54" s="4" t="inlineStr">
        <is>
          <t>REQ20052</t>
        </is>
      </c>
      <c r="B54" s="11" t="n">
        <v>46035.04166666666</v>
      </c>
      <c r="C54" s="4" t="inlineStr">
        <is>
          <t>Karthik Joshi</t>
        </is>
      </c>
      <c r="D54" s="4" t="inlineStr">
        <is>
          <t>Finance</t>
        </is>
      </c>
      <c r="E54" s="4" t="inlineStr">
        <is>
          <t>MFA Enrollment</t>
        </is>
      </c>
      <c r="F54" s="4" t="inlineStr">
        <is>
          <t>Okta</t>
        </is>
      </c>
      <c r="G54" s="4" t="inlineStr">
        <is>
          <t>Enroll user in MFA factor</t>
        </is>
      </c>
      <c r="H54" s="4" t="inlineStr">
        <is>
          <t>Approved</t>
        </is>
      </c>
      <c r="I54" s="4" t="inlineStr">
        <is>
          <t>Completed</t>
        </is>
      </c>
      <c r="J54" s="4" t="inlineStr">
        <is>
          <t>IAM Operations</t>
        </is>
      </c>
      <c r="K54" s="4" t="n">
        <v>4</v>
      </c>
      <c r="L54" s="4" t="n">
        <v>3.6</v>
      </c>
      <c r="M54" s="4">
        <f>IF(OR(I54="Waiting Approval",I54="In Progress"),"Pending",IF(L54&lt;=K54,"Yes","No"))</f>
        <v/>
      </c>
      <c r="N54" s="4" t="inlineStr">
        <is>
          <t>MFA Enrollment request aligned to Okta workflow.</t>
        </is>
      </c>
    </row>
    <row r="55">
      <c r="A55" s="4" t="inlineStr">
        <is>
          <t>REQ20053</t>
        </is>
      </c>
      <c r="B55" s="11" t="n">
        <v>46046.375</v>
      </c>
      <c r="C55" s="4" t="inlineStr">
        <is>
          <t>Arjun Patel</t>
        </is>
      </c>
      <c r="D55" s="4" t="inlineStr">
        <is>
          <t>Finance</t>
        </is>
      </c>
      <c r="E55" s="4" t="inlineStr">
        <is>
          <t>VPN Access</t>
        </is>
      </c>
      <c r="F55" s="4" t="inlineStr">
        <is>
          <t>VPN</t>
        </is>
      </c>
      <c r="G55" s="4" t="inlineStr">
        <is>
          <t>Provision VPN access</t>
        </is>
      </c>
      <c r="H55" s="4" t="inlineStr">
        <is>
          <t>Pending</t>
        </is>
      </c>
      <c r="I55" s="4" t="inlineStr">
        <is>
          <t>Waiting Approval</t>
        </is>
      </c>
      <c r="J55" s="4" t="inlineStr">
        <is>
          <t>Service Desk</t>
        </is>
      </c>
      <c r="K55" s="4" t="n">
        <v>8</v>
      </c>
      <c r="L55" s="4" t="n"/>
      <c r="M55" s="4">
        <f>IF(OR(I55="Waiting Approval",I55="In Progress"),"Pending",IF(L55&lt;=K55,"Yes","No"))</f>
        <v/>
      </c>
      <c r="N55" s="4" t="inlineStr">
        <is>
          <t>VPN Access request aligned to VPN workflow.</t>
        </is>
      </c>
    </row>
    <row r="56">
      <c r="A56" s="4" t="inlineStr">
        <is>
          <t>REQ20054</t>
        </is>
      </c>
      <c r="B56" s="11" t="n">
        <v>46086.625</v>
      </c>
      <c r="C56" s="4" t="inlineStr">
        <is>
          <t>Pooja Kumar</t>
        </is>
      </c>
      <c r="D56" s="4" t="inlineStr">
        <is>
          <t>Operations</t>
        </is>
      </c>
      <c r="E56" s="4" t="inlineStr">
        <is>
          <t>User Offboarding</t>
        </is>
      </c>
      <c r="F56" s="4" t="inlineStr">
        <is>
          <t>Active Directory</t>
        </is>
      </c>
      <c r="G56" s="4" t="inlineStr">
        <is>
          <t>Disable account + revoke sessions</t>
        </is>
      </c>
      <c r="H56" s="4" t="inlineStr">
        <is>
          <t>Approved</t>
        </is>
      </c>
      <c r="I56" s="4" t="inlineStr">
        <is>
          <t>Completed</t>
        </is>
      </c>
      <c r="J56" s="4" t="inlineStr">
        <is>
          <t>IAM Operations</t>
        </is>
      </c>
      <c r="K56" s="4" t="n">
        <v>4</v>
      </c>
      <c r="L56" s="4" t="n">
        <v>4.8</v>
      </c>
      <c r="M56" s="4">
        <f>IF(OR(I56="Waiting Approval",I56="In Progress"),"Pending",IF(L56&lt;=K56,"Yes","No"))</f>
        <v/>
      </c>
      <c r="N56" s="4" t="inlineStr">
        <is>
          <t>User Offboarding request aligned to Active Directory workflow.</t>
        </is>
      </c>
    </row>
    <row r="57">
      <c r="A57" s="4" t="inlineStr">
        <is>
          <t>REQ20055</t>
        </is>
      </c>
      <c r="B57" s="11" t="n">
        <v>46035.75</v>
      </c>
      <c r="C57" s="4" t="inlineStr">
        <is>
          <t>Karthik Das</t>
        </is>
      </c>
      <c r="D57" s="4" t="inlineStr">
        <is>
          <t>Customer Support</t>
        </is>
      </c>
      <c r="E57" s="4" t="inlineStr">
        <is>
          <t>User Offboarding</t>
        </is>
      </c>
      <c r="F57" s="4" t="inlineStr">
        <is>
          <t>Active Directory</t>
        </is>
      </c>
      <c r="G57" s="4" t="inlineStr">
        <is>
          <t>Disable account + revoke sessions</t>
        </is>
      </c>
      <c r="H57" s="4" t="inlineStr">
        <is>
          <t>Approved</t>
        </is>
      </c>
      <c r="I57" s="4" t="inlineStr">
        <is>
          <t>Completed</t>
        </is>
      </c>
      <c r="J57" s="4" t="inlineStr">
        <is>
          <t>IAM Operations</t>
        </is>
      </c>
      <c r="K57" s="4" t="n">
        <v>4</v>
      </c>
      <c r="L57" s="4" t="n">
        <v>2.9</v>
      </c>
      <c r="M57" s="4">
        <f>IF(OR(I57="Waiting Approval",I57="In Progress"),"Pending",IF(L57&lt;=K57,"Yes","No"))</f>
        <v/>
      </c>
      <c r="N57" s="4" t="inlineStr">
        <is>
          <t>User Offboarding request aligned to Active Directory workflow.</t>
        </is>
      </c>
    </row>
    <row r="58">
      <c r="A58" s="4" t="inlineStr">
        <is>
          <t>REQ20056</t>
        </is>
      </c>
      <c r="B58" s="11" t="n">
        <v>46088.08333333334</v>
      </c>
      <c r="C58" s="4" t="inlineStr">
        <is>
          <t>Nikita Singh</t>
        </is>
      </c>
      <c r="D58" s="4" t="inlineStr">
        <is>
          <t>Customer Support</t>
        </is>
      </c>
      <c r="E58" s="4" t="inlineStr">
        <is>
          <t>User Onboarding</t>
        </is>
      </c>
      <c r="F58" s="4" t="inlineStr">
        <is>
          <t>Azure AD</t>
        </is>
      </c>
      <c r="G58" s="4" t="inlineStr">
        <is>
          <t>Create user account + baseline group membership</t>
        </is>
      </c>
      <c r="H58" s="4" t="inlineStr">
        <is>
          <t>Approved</t>
        </is>
      </c>
      <c r="I58" s="4" t="inlineStr">
        <is>
          <t>In Progress</t>
        </is>
      </c>
      <c r="J58" s="4" t="inlineStr">
        <is>
          <t>IAM Operations</t>
        </is>
      </c>
      <c r="K58" s="4" t="n">
        <v>8</v>
      </c>
      <c r="L58" s="4" t="n"/>
      <c r="M58" s="4">
        <f>IF(OR(I58="Waiting Approval",I58="In Progress"),"Pending",IF(L58&lt;=K58,"Yes","No"))</f>
        <v/>
      </c>
      <c r="N58" s="4" t="inlineStr">
        <is>
          <t>User Onboarding request aligned to Azure AD workflow.</t>
        </is>
      </c>
    </row>
    <row r="59">
      <c r="A59" s="4" t="inlineStr">
        <is>
          <t>REQ20057</t>
        </is>
      </c>
      <c r="B59" s="11" t="n">
        <v>46040.95833333334</v>
      </c>
      <c r="C59" s="4" t="inlineStr">
        <is>
          <t>Tarun Singh</t>
        </is>
      </c>
      <c r="D59" s="4" t="inlineStr">
        <is>
          <t>HR</t>
        </is>
      </c>
      <c r="E59" s="4" t="inlineStr">
        <is>
          <t>VPN Access</t>
        </is>
      </c>
      <c r="F59" s="4" t="inlineStr">
        <is>
          <t>VPN</t>
        </is>
      </c>
      <c r="G59" s="4" t="inlineStr">
        <is>
          <t>Provision VPN access</t>
        </is>
      </c>
      <c r="H59" s="4" t="inlineStr">
        <is>
          <t>Approved</t>
        </is>
      </c>
      <c r="I59" s="4" t="inlineStr">
        <is>
          <t>Completed</t>
        </is>
      </c>
      <c r="J59" s="4" t="inlineStr">
        <is>
          <t>Service Desk</t>
        </is>
      </c>
      <c r="K59" s="4" t="n">
        <v>8</v>
      </c>
      <c r="L59" s="4" t="n">
        <v>8.300000000000001</v>
      </c>
      <c r="M59" s="4">
        <f>IF(OR(I59="Waiting Approval",I59="In Progress"),"Pending",IF(L59&lt;=K59,"Yes","No"))</f>
        <v/>
      </c>
      <c r="N59" s="4" t="inlineStr">
        <is>
          <t>VPN Access request aligned to VPN workflow.</t>
        </is>
      </c>
    </row>
    <row r="60">
      <c r="A60" s="4" t="inlineStr">
        <is>
          <t>REQ20058</t>
        </is>
      </c>
      <c r="B60" s="11" t="n">
        <v>46063.375</v>
      </c>
      <c r="C60" s="4" t="inlineStr">
        <is>
          <t>Vikram Gupta</t>
        </is>
      </c>
      <c r="D60" s="4" t="inlineStr">
        <is>
          <t>Legal</t>
        </is>
      </c>
      <c r="E60" s="4" t="inlineStr">
        <is>
          <t>Role Change</t>
        </is>
      </c>
      <c r="F60" s="4" t="inlineStr">
        <is>
          <t>Azure AD</t>
        </is>
      </c>
      <c r="G60" s="4" t="inlineStr">
        <is>
          <t>Assign/remove application role</t>
        </is>
      </c>
      <c r="H60" s="4" t="inlineStr">
        <is>
          <t>Pending</t>
        </is>
      </c>
      <c r="I60" s="4" t="inlineStr">
        <is>
          <t>Waiting Approval</t>
        </is>
      </c>
      <c r="J60" s="4" t="inlineStr">
        <is>
          <t>IAM Operations</t>
        </is>
      </c>
      <c r="K60" s="4" t="n">
        <v>8</v>
      </c>
      <c r="L60" s="4" t="n"/>
      <c r="M60" s="4">
        <f>IF(OR(I60="Waiting Approval",I60="In Progress"),"Pending",IF(L60&lt;=K60,"Yes","No"))</f>
        <v/>
      </c>
      <c r="N60" s="4" t="inlineStr">
        <is>
          <t>Role Change request aligned to Azure AD workflow.</t>
        </is>
      </c>
    </row>
    <row r="61">
      <c r="A61" s="4" t="inlineStr">
        <is>
          <t>REQ20059</t>
        </is>
      </c>
      <c r="B61" s="11" t="n">
        <v>46043</v>
      </c>
      <c r="C61" s="4" t="inlineStr">
        <is>
          <t>Vikram Gupta</t>
        </is>
      </c>
      <c r="D61" s="4" t="inlineStr">
        <is>
          <t>Operations</t>
        </is>
      </c>
      <c r="E61" s="4" t="inlineStr">
        <is>
          <t>User Onboarding</t>
        </is>
      </c>
      <c r="F61" s="4" t="inlineStr">
        <is>
          <t>Azure AD</t>
        </is>
      </c>
      <c r="G61" s="4" t="inlineStr">
        <is>
          <t>Create user account + baseline group membership</t>
        </is>
      </c>
      <c r="H61" s="4" t="inlineStr">
        <is>
          <t>Pending</t>
        </is>
      </c>
      <c r="I61" s="4" t="inlineStr">
        <is>
          <t>Waiting Approval</t>
        </is>
      </c>
      <c r="J61" s="4" t="inlineStr">
        <is>
          <t>IAM Operations</t>
        </is>
      </c>
      <c r="K61" s="4" t="n">
        <v>8</v>
      </c>
      <c r="L61" s="4" t="n"/>
      <c r="M61" s="4">
        <f>IF(OR(I61="Waiting Approval",I61="In Progress"),"Pending",IF(L61&lt;=K61,"Yes","No"))</f>
        <v/>
      </c>
      <c r="N61" s="4" t="inlineStr">
        <is>
          <t>User Onboarding request aligned to Azure AD workflow.</t>
        </is>
      </c>
    </row>
    <row r="62">
      <c r="A62" s="4" t="inlineStr">
        <is>
          <t>REQ20060</t>
        </is>
      </c>
      <c r="B62" s="11" t="n">
        <v>46062.08333333334</v>
      </c>
      <c r="C62" s="4" t="inlineStr">
        <is>
          <t>Ravi Kapoor</t>
        </is>
      </c>
      <c r="D62" s="4" t="inlineStr">
        <is>
          <t>Sales</t>
        </is>
      </c>
      <c r="E62" s="4" t="inlineStr">
        <is>
          <t>User Onboarding</t>
        </is>
      </c>
      <c r="F62" s="4" t="inlineStr">
        <is>
          <t>Azure AD</t>
        </is>
      </c>
      <c r="G62" s="4" t="inlineStr">
        <is>
          <t>Create user account + baseline group membership</t>
        </is>
      </c>
      <c r="H62" s="4" t="inlineStr">
        <is>
          <t>Approved</t>
        </is>
      </c>
      <c r="I62" s="4" t="inlineStr">
        <is>
          <t>In Progress</t>
        </is>
      </c>
      <c r="J62" s="4" t="inlineStr">
        <is>
          <t>IAM Operations</t>
        </is>
      </c>
      <c r="K62" s="4" t="n">
        <v>8</v>
      </c>
      <c r="L62" s="4" t="n"/>
      <c r="M62" s="4">
        <f>IF(OR(I62="Waiting Approval",I62="In Progress"),"Pending",IF(L62&lt;=K62,"Yes","No"))</f>
        <v/>
      </c>
      <c r="N62" s="4" t="inlineStr">
        <is>
          <t>User Onboarding request aligned to Azure AD workflow.</t>
        </is>
      </c>
    </row>
    <row r="63">
      <c r="A63" s="4" t="inlineStr">
        <is>
          <t>REQ20061</t>
        </is>
      </c>
      <c r="B63" s="11" t="n">
        <v>46060.08333333334</v>
      </c>
      <c r="C63" s="4" t="inlineStr">
        <is>
          <t>Aarav Mehta</t>
        </is>
      </c>
      <c r="D63" s="4" t="inlineStr">
        <is>
          <t>Procurement</t>
        </is>
      </c>
      <c r="E63" s="4" t="inlineStr">
        <is>
          <t>MFA Enrollment</t>
        </is>
      </c>
      <c r="F63" s="4" t="inlineStr">
        <is>
          <t>Okta</t>
        </is>
      </c>
      <c r="G63" s="4" t="inlineStr">
        <is>
          <t>Enroll user in MFA factor</t>
        </is>
      </c>
      <c r="H63" s="4" t="inlineStr">
        <is>
          <t>Approved</t>
        </is>
      </c>
      <c r="I63" s="4" t="inlineStr">
        <is>
          <t>Completed</t>
        </is>
      </c>
      <c r="J63" s="4" t="inlineStr">
        <is>
          <t>IAM Operations</t>
        </is>
      </c>
      <c r="K63" s="4" t="n">
        <v>4</v>
      </c>
      <c r="L63" s="4" t="n">
        <v>4.5</v>
      </c>
      <c r="M63" s="4">
        <f>IF(OR(I63="Waiting Approval",I63="In Progress"),"Pending",IF(L63&lt;=K63,"Yes","No"))</f>
        <v/>
      </c>
      <c r="N63" s="4" t="inlineStr">
        <is>
          <t>MFA Enrollment request aligned to Okta workflow.</t>
        </is>
      </c>
    </row>
    <row r="64">
      <c r="A64" s="4" t="inlineStr">
        <is>
          <t>REQ20062</t>
        </is>
      </c>
      <c r="B64" s="11" t="n">
        <v>46047.75</v>
      </c>
      <c r="C64" s="4" t="inlineStr">
        <is>
          <t>Kiran Iyer</t>
        </is>
      </c>
      <c r="D64" s="4" t="inlineStr">
        <is>
          <t>Legal</t>
        </is>
      </c>
      <c r="E64" s="4" t="inlineStr">
        <is>
          <t>User Offboarding</t>
        </is>
      </c>
      <c r="F64" s="4" t="inlineStr">
        <is>
          <t>Active Directory</t>
        </is>
      </c>
      <c r="G64" s="4" t="inlineStr">
        <is>
          <t>Disable account + revoke sessions</t>
        </is>
      </c>
      <c r="H64" s="4" t="inlineStr">
        <is>
          <t>Approved</t>
        </is>
      </c>
      <c r="I64" s="4" t="inlineStr">
        <is>
          <t>Completed</t>
        </is>
      </c>
      <c r="J64" s="4" t="inlineStr">
        <is>
          <t>IAM Operations</t>
        </is>
      </c>
      <c r="K64" s="4" t="n">
        <v>4</v>
      </c>
      <c r="L64" s="4" t="n">
        <v>0.8</v>
      </c>
      <c r="M64" s="4">
        <f>IF(OR(I64="Waiting Approval",I64="In Progress"),"Pending",IF(L64&lt;=K64,"Yes","No"))</f>
        <v/>
      </c>
      <c r="N64" s="4" t="inlineStr">
        <is>
          <t>User Offboarding request aligned to Active Directory workflow.</t>
        </is>
      </c>
    </row>
    <row r="65">
      <c r="A65" s="4" t="inlineStr">
        <is>
          <t>REQ20063</t>
        </is>
      </c>
      <c r="B65" s="11" t="n">
        <v>46046.33333333334</v>
      </c>
      <c r="C65" s="4" t="inlineStr">
        <is>
          <t>Pooja Kapoor</t>
        </is>
      </c>
      <c r="D65" s="4" t="inlineStr">
        <is>
          <t>Legal</t>
        </is>
      </c>
      <c r="E65" s="4" t="inlineStr">
        <is>
          <t>Password Reset</t>
        </is>
      </c>
      <c r="F65" s="4" t="inlineStr">
        <is>
          <t>Active Directory</t>
        </is>
      </c>
      <c r="G65" s="4" t="inlineStr">
        <is>
          <t>Reset password and verify login</t>
        </is>
      </c>
      <c r="H65" s="4" t="inlineStr">
        <is>
          <t>Approved</t>
        </is>
      </c>
      <c r="I65" s="4" t="inlineStr">
        <is>
          <t>Completed</t>
        </is>
      </c>
      <c r="J65" s="4" t="inlineStr">
        <is>
          <t>Service Desk</t>
        </is>
      </c>
      <c r="K65" s="4" t="n">
        <v>4</v>
      </c>
      <c r="L65" s="4" t="n">
        <v>1.5</v>
      </c>
      <c r="M65" s="4">
        <f>IF(OR(I65="Waiting Approval",I65="In Progress"),"Pending",IF(L65&lt;=K65,"Yes","No"))</f>
        <v/>
      </c>
      <c r="N65" s="4" t="inlineStr">
        <is>
          <t>Password Reset request aligned to Active Directory workflow.</t>
        </is>
      </c>
    </row>
    <row r="66">
      <c r="A66" s="4" t="inlineStr">
        <is>
          <t>REQ20064</t>
        </is>
      </c>
      <c r="B66" s="11" t="n">
        <v>46039.875</v>
      </c>
      <c r="C66" s="4" t="inlineStr">
        <is>
          <t>Manoj Joshi</t>
        </is>
      </c>
      <c r="D66" s="4" t="inlineStr">
        <is>
          <t>Finance</t>
        </is>
      </c>
      <c r="E66" s="4" t="inlineStr">
        <is>
          <t>Mailbox Enablement</t>
        </is>
      </c>
      <c r="F66" s="4" t="inlineStr">
        <is>
          <t>Azure AD</t>
        </is>
      </c>
      <c r="G66" s="4" t="inlineStr">
        <is>
          <t>Apply productivity license</t>
        </is>
      </c>
      <c r="H66" s="4" t="inlineStr">
        <is>
          <t>Approved</t>
        </is>
      </c>
      <c r="I66" s="4" t="inlineStr">
        <is>
          <t>Completed</t>
        </is>
      </c>
      <c r="J66" s="4" t="inlineStr">
        <is>
          <t>IAM Operations</t>
        </is>
      </c>
      <c r="K66" s="4" t="n">
        <v>8</v>
      </c>
      <c r="L66" s="4" t="n">
        <v>0.9</v>
      </c>
      <c r="M66" s="4">
        <f>IF(OR(I66="Waiting Approval",I66="In Progress"),"Pending",IF(L66&lt;=K66,"Yes","No"))</f>
        <v/>
      </c>
      <c r="N66" s="4" t="inlineStr">
        <is>
          <t>Mailbox Enablement request aligned to Azure AD workflow.</t>
        </is>
      </c>
    </row>
    <row r="67">
      <c r="A67" s="4" t="inlineStr">
        <is>
          <t>REQ20065</t>
        </is>
      </c>
      <c r="B67" s="11" t="n">
        <v>46067.25</v>
      </c>
      <c r="C67" s="4" t="inlineStr">
        <is>
          <t>Priya Joshi</t>
        </is>
      </c>
      <c r="D67" s="4" t="inlineStr">
        <is>
          <t>IT</t>
        </is>
      </c>
      <c r="E67" s="4" t="inlineStr">
        <is>
          <t>User Onboarding</t>
        </is>
      </c>
      <c r="F67" s="4" t="inlineStr">
        <is>
          <t>Azure AD</t>
        </is>
      </c>
      <c r="G67" s="4" t="inlineStr">
        <is>
          <t>Create user account + baseline group membership</t>
        </is>
      </c>
      <c r="H67" s="4" t="inlineStr">
        <is>
          <t>Approved</t>
        </is>
      </c>
      <c r="I67" s="4" t="inlineStr">
        <is>
          <t>Completed</t>
        </is>
      </c>
      <c r="J67" s="4" t="inlineStr">
        <is>
          <t>IAM Operations</t>
        </is>
      </c>
      <c r="K67" s="4" t="n">
        <v>8</v>
      </c>
      <c r="L67" s="4" t="n">
        <v>3.4</v>
      </c>
      <c r="M67" s="4">
        <f>IF(OR(I67="Waiting Approval",I67="In Progress"),"Pending",IF(L67&lt;=K67,"Yes","No"))</f>
        <v/>
      </c>
      <c r="N67" s="4" t="inlineStr">
        <is>
          <t>User Onboarding request aligned to Azure AD workflow.</t>
        </is>
      </c>
    </row>
    <row r="68">
      <c r="A68" s="4" t="inlineStr">
        <is>
          <t>REQ20066</t>
        </is>
      </c>
      <c r="B68" s="11" t="n">
        <v>46086.45833333334</v>
      </c>
      <c r="C68" s="4" t="inlineStr">
        <is>
          <t>Aarav Kumar</t>
        </is>
      </c>
      <c r="D68" s="4" t="inlineStr">
        <is>
          <t>IT</t>
        </is>
      </c>
      <c r="E68" s="4" t="inlineStr">
        <is>
          <t>User Offboarding</t>
        </is>
      </c>
      <c r="F68" s="4" t="inlineStr">
        <is>
          <t>Active Directory</t>
        </is>
      </c>
      <c r="G68" s="4" t="inlineStr">
        <is>
          <t>Disable account + revoke sessions</t>
        </is>
      </c>
      <c r="H68" s="4" t="inlineStr">
        <is>
          <t>Pending</t>
        </is>
      </c>
      <c r="I68" s="4" t="inlineStr">
        <is>
          <t>Waiting Approval</t>
        </is>
      </c>
      <c r="J68" s="4" t="inlineStr">
        <is>
          <t>IAM Operations</t>
        </is>
      </c>
      <c r="K68" s="4" t="n">
        <v>4</v>
      </c>
      <c r="L68" s="4" t="n"/>
      <c r="M68" s="4">
        <f>IF(OR(I68="Waiting Approval",I68="In Progress"),"Pending",IF(L68&lt;=K68,"Yes","No"))</f>
        <v/>
      </c>
      <c r="N68" s="4" t="inlineStr">
        <is>
          <t>User Offboarding request aligned to Active Directory workflow.</t>
        </is>
      </c>
    </row>
    <row r="69">
      <c r="A69" s="4" t="inlineStr">
        <is>
          <t>REQ20067</t>
        </is>
      </c>
      <c r="B69" s="11" t="n">
        <v>46043.45833333334</v>
      </c>
      <c r="C69" s="4" t="inlineStr">
        <is>
          <t>Isha Singh</t>
        </is>
      </c>
      <c r="D69" s="4" t="inlineStr">
        <is>
          <t>IT</t>
        </is>
      </c>
      <c r="E69" s="4" t="inlineStr">
        <is>
          <t>Password Reset</t>
        </is>
      </c>
      <c r="F69" s="4" t="inlineStr">
        <is>
          <t>Active Directory</t>
        </is>
      </c>
      <c r="G69" s="4" t="inlineStr">
        <is>
          <t>Reset password and verify login</t>
        </is>
      </c>
      <c r="H69" s="4" t="inlineStr">
        <is>
          <t>Approved</t>
        </is>
      </c>
      <c r="I69" s="4" t="inlineStr">
        <is>
          <t>Completed</t>
        </is>
      </c>
      <c r="J69" s="4" t="inlineStr">
        <is>
          <t>Service Desk</t>
        </is>
      </c>
      <c r="K69" s="4" t="n">
        <v>4</v>
      </c>
      <c r="L69" s="4" t="n">
        <v>3.2</v>
      </c>
      <c r="M69" s="4">
        <f>IF(OR(I69="Waiting Approval",I69="In Progress"),"Pending",IF(L69&lt;=K69,"Yes","No"))</f>
        <v/>
      </c>
      <c r="N69" s="4" t="inlineStr">
        <is>
          <t>Password Reset request aligned to Active Directory workflow.</t>
        </is>
      </c>
    </row>
    <row r="70">
      <c r="A70" s="4" t="inlineStr">
        <is>
          <t>REQ20068</t>
        </is>
      </c>
      <c r="B70" s="11" t="n">
        <v>46052.625</v>
      </c>
      <c r="C70" s="4" t="inlineStr">
        <is>
          <t>Aarav Gupta</t>
        </is>
      </c>
      <c r="D70" s="4" t="inlineStr">
        <is>
          <t>Finance</t>
        </is>
      </c>
      <c r="E70" s="4" t="inlineStr">
        <is>
          <t>User Offboarding</t>
        </is>
      </c>
      <c r="F70" s="4" t="inlineStr">
        <is>
          <t>Active Directory</t>
        </is>
      </c>
      <c r="G70" s="4" t="inlineStr">
        <is>
          <t>Disable account + revoke sessions</t>
        </is>
      </c>
      <c r="H70" s="4" t="inlineStr">
        <is>
          <t>Approved</t>
        </is>
      </c>
      <c r="I70" s="4" t="inlineStr">
        <is>
          <t>Completed</t>
        </is>
      </c>
      <c r="J70" s="4" t="inlineStr">
        <is>
          <t>IAM Operations</t>
        </is>
      </c>
      <c r="K70" s="4" t="n">
        <v>4</v>
      </c>
      <c r="L70" s="4" t="n">
        <v>2.7</v>
      </c>
      <c r="M70" s="4">
        <f>IF(OR(I70="Waiting Approval",I70="In Progress"),"Pending",IF(L70&lt;=K70,"Yes","No"))</f>
        <v/>
      </c>
      <c r="N70" s="4" t="inlineStr">
        <is>
          <t>User Offboarding request aligned to Active Directory workflow.</t>
        </is>
      </c>
    </row>
    <row r="71">
      <c r="A71" s="4" t="inlineStr">
        <is>
          <t>REQ20069</t>
        </is>
      </c>
      <c r="B71" s="11" t="n">
        <v>46083.91666666666</v>
      </c>
      <c r="C71" s="4" t="inlineStr">
        <is>
          <t>Pooja Das</t>
        </is>
      </c>
      <c r="D71" s="4" t="inlineStr">
        <is>
          <t>Finance</t>
        </is>
      </c>
      <c r="E71" s="4" t="inlineStr">
        <is>
          <t>MFA Enrollment</t>
        </is>
      </c>
      <c r="F71" s="4" t="inlineStr">
        <is>
          <t>Okta</t>
        </is>
      </c>
      <c r="G71" s="4" t="inlineStr">
        <is>
          <t>Enroll user in MFA factor</t>
        </is>
      </c>
      <c r="H71" s="4" t="inlineStr">
        <is>
          <t>Approved</t>
        </is>
      </c>
      <c r="I71" s="4" t="inlineStr">
        <is>
          <t>In Progress</t>
        </is>
      </c>
      <c r="J71" s="4" t="inlineStr">
        <is>
          <t>IAM Operations</t>
        </is>
      </c>
      <c r="K71" s="4" t="n">
        <v>4</v>
      </c>
      <c r="L71" s="4" t="n"/>
      <c r="M71" s="4">
        <f>IF(OR(I71="Waiting Approval",I71="In Progress"),"Pending",IF(L71&lt;=K71,"Yes","No"))</f>
        <v/>
      </c>
      <c r="N71" s="4" t="inlineStr">
        <is>
          <t>MFA Enrollment request aligned to Okta workflow.</t>
        </is>
      </c>
    </row>
    <row r="72">
      <c r="A72" s="4" t="inlineStr">
        <is>
          <t>REQ20070</t>
        </is>
      </c>
      <c r="B72" s="11" t="n">
        <v>46083.54166666666</v>
      </c>
      <c r="C72" s="4" t="inlineStr">
        <is>
          <t>Neha Singh</t>
        </is>
      </c>
      <c r="D72" s="4" t="inlineStr">
        <is>
          <t>Finance</t>
        </is>
      </c>
      <c r="E72" s="4" t="inlineStr">
        <is>
          <t>VPN Access</t>
        </is>
      </c>
      <c r="F72" s="4" t="inlineStr">
        <is>
          <t>VPN</t>
        </is>
      </c>
      <c r="G72" s="4" t="inlineStr">
        <is>
          <t>Provision VPN access</t>
        </is>
      </c>
      <c r="H72" s="4" t="inlineStr">
        <is>
          <t>Approved</t>
        </is>
      </c>
      <c r="I72" s="4" t="inlineStr">
        <is>
          <t>Completed</t>
        </is>
      </c>
      <c r="J72" s="4" t="inlineStr">
        <is>
          <t>Service Desk</t>
        </is>
      </c>
      <c r="K72" s="4" t="n">
        <v>8</v>
      </c>
      <c r="L72" s="4" t="n">
        <v>6.5</v>
      </c>
      <c r="M72" s="4">
        <f>IF(OR(I72="Waiting Approval",I72="In Progress"),"Pending",IF(L72&lt;=K72,"Yes","No"))</f>
        <v/>
      </c>
      <c r="N72" s="4" t="inlineStr">
        <is>
          <t>VPN Access request aligned to VPN workflow.</t>
        </is>
      </c>
    </row>
    <row r="73">
      <c r="A73" s="4" t="inlineStr">
        <is>
          <t>REQ20071</t>
        </is>
      </c>
      <c r="B73" s="11" t="n">
        <v>46064.45833333334</v>
      </c>
      <c r="C73" s="4" t="inlineStr">
        <is>
          <t>Karthik Rao</t>
        </is>
      </c>
      <c r="D73" s="4" t="inlineStr">
        <is>
          <t>IT</t>
        </is>
      </c>
      <c r="E73" s="4" t="inlineStr">
        <is>
          <t>MFA Enrollment</t>
        </is>
      </c>
      <c r="F73" s="4" t="inlineStr">
        <is>
          <t>Okta</t>
        </is>
      </c>
      <c r="G73" s="4" t="inlineStr">
        <is>
          <t>Enroll user in MFA factor</t>
        </is>
      </c>
      <c r="H73" s="4" t="inlineStr">
        <is>
          <t>Pending</t>
        </is>
      </c>
      <c r="I73" s="4" t="inlineStr">
        <is>
          <t>Waiting Approval</t>
        </is>
      </c>
      <c r="J73" s="4" t="inlineStr">
        <is>
          <t>IAM Operations</t>
        </is>
      </c>
      <c r="K73" s="4" t="n">
        <v>4</v>
      </c>
      <c r="L73" s="4" t="n"/>
      <c r="M73" s="4">
        <f>IF(OR(I73="Waiting Approval",I73="In Progress"),"Pending",IF(L73&lt;=K73,"Yes","No"))</f>
        <v/>
      </c>
      <c r="N73" s="4" t="inlineStr">
        <is>
          <t>MFA Enrollment request aligned to Okta workflow.</t>
        </is>
      </c>
    </row>
    <row r="74">
      <c r="A74" s="4" t="inlineStr">
        <is>
          <t>REQ20072</t>
        </is>
      </c>
      <c r="B74" s="11" t="n">
        <v>46046.91666666666</v>
      </c>
      <c r="C74" s="4" t="inlineStr">
        <is>
          <t>Sanjay Iyer</t>
        </is>
      </c>
      <c r="D74" s="4" t="inlineStr">
        <is>
          <t>Customer Support</t>
        </is>
      </c>
      <c r="E74" s="4" t="inlineStr">
        <is>
          <t>MFA Enrollment</t>
        </is>
      </c>
      <c r="F74" s="4" t="inlineStr">
        <is>
          <t>Okta</t>
        </is>
      </c>
      <c r="G74" s="4" t="inlineStr">
        <is>
          <t>Enroll user in MFA factor</t>
        </is>
      </c>
      <c r="H74" s="4" t="inlineStr">
        <is>
          <t>Approved</t>
        </is>
      </c>
      <c r="I74" s="4" t="inlineStr">
        <is>
          <t>Completed</t>
        </is>
      </c>
      <c r="J74" s="4" t="inlineStr">
        <is>
          <t>IAM Operations</t>
        </is>
      </c>
      <c r="K74" s="4" t="n">
        <v>4</v>
      </c>
      <c r="L74" s="4" t="n">
        <v>3.3</v>
      </c>
      <c r="M74" s="4">
        <f>IF(OR(I74="Waiting Approval",I74="In Progress"),"Pending",IF(L74&lt;=K74,"Yes","No"))</f>
        <v/>
      </c>
      <c r="N74" s="4" t="inlineStr">
        <is>
          <t>MFA Enrollment request aligned to Okta workflow.</t>
        </is>
      </c>
    </row>
    <row r="75">
      <c r="A75" s="4" t="inlineStr">
        <is>
          <t>REQ20073</t>
        </is>
      </c>
      <c r="B75" s="11" t="n">
        <v>46076.20833333334</v>
      </c>
      <c r="C75" s="4" t="inlineStr">
        <is>
          <t>Nikita Singh</t>
        </is>
      </c>
      <c r="D75" s="4" t="inlineStr">
        <is>
          <t>Procurement</t>
        </is>
      </c>
      <c r="E75" s="4" t="inlineStr">
        <is>
          <t>Role Change</t>
        </is>
      </c>
      <c r="F75" s="4" t="inlineStr">
        <is>
          <t>Azure AD</t>
        </is>
      </c>
      <c r="G75" s="4" t="inlineStr">
        <is>
          <t>Assign/remove application role</t>
        </is>
      </c>
      <c r="H75" s="4" t="inlineStr">
        <is>
          <t>Approved</t>
        </is>
      </c>
      <c r="I75" s="4" t="inlineStr">
        <is>
          <t>Completed</t>
        </is>
      </c>
      <c r="J75" s="4" t="inlineStr">
        <is>
          <t>IAM Operations</t>
        </is>
      </c>
      <c r="K75" s="4" t="n">
        <v>8</v>
      </c>
      <c r="L75" s="4" t="n">
        <v>2.5</v>
      </c>
      <c r="M75" s="4">
        <f>IF(OR(I75="Waiting Approval",I75="In Progress"),"Pending",IF(L75&lt;=K75,"Yes","No"))</f>
        <v/>
      </c>
      <c r="N75" s="4" t="inlineStr">
        <is>
          <t>Role Change request aligned to Azure AD workflow.</t>
        </is>
      </c>
    </row>
    <row r="76">
      <c r="A76" s="4" t="inlineStr">
        <is>
          <t>REQ20074</t>
        </is>
      </c>
      <c r="B76" s="11" t="n">
        <v>46051.95833333334</v>
      </c>
      <c r="C76" s="4" t="inlineStr">
        <is>
          <t>Vikram Jain</t>
        </is>
      </c>
      <c r="D76" s="4" t="inlineStr">
        <is>
          <t>Procurement</t>
        </is>
      </c>
      <c r="E76" s="4" t="inlineStr">
        <is>
          <t>Role Change</t>
        </is>
      </c>
      <c r="F76" s="4" t="inlineStr">
        <is>
          <t>Azure AD</t>
        </is>
      </c>
      <c r="G76" s="4" t="inlineStr">
        <is>
          <t>Assign/remove application role</t>
        </is>
      </c>
      <c r="H76" s="4" t="inlineStr">
        <is>
          <t>Approved</t>
        </is>
      </c>
      <c r="I76" s="4" t="inlineStr">
        <is>
          <t>Completed</t>
        </is>
      </c>
      <c r="J76" s="4" t="inlineStr">
        <is>
          <t>IAM Operations</t>
        </is>
      </c>
      <c r="K76" s="4" t="n">
        <v>8</v>
      </c>
      <c r="L76" s="4" t="n">
        <v>0.9</v>
      </c>
      <c r="M76" s="4">
        <f>IF(OR(I76="Waiting Approval",I76="In Progress"),"Pending",IF(L76&lt;=K76,"Yes","No"))</f>
        <v/>
      </c>
      <c r="N76" s="4" t="inlineStr">
        <is>
          <t>Role Change request aligned to Azure AD workflow.</t>
        </is>
      </c>
    </row>
    <row r="77">
      <c r="A77" s="4" t="inlineStr">
        <is>
          <t>REQ20075</t>
        </is>
      </c>
      <c r="B77" s="11" t="n">
        <v>46084.66666666666</v>
      </c>
      <c r="C77" s="4" t="inlineStr">
        <is>
          <t>Ravi Jain</t>
        </is>
      </c>
      <c r="D77" s="4" t="inlineStr">
        <is>
          <t>Operations</t>
        </is>
      </c>
      <c r="E77" s="4" t="inlineStr">
        <is>
          <t>Mailbox Enablement</t>
        </is>
      </c>
      <c r="F77" s="4" t="inlineStr">
        <is>
          <t>Azure AD</t>
        </is>
      </c>
      <c r="G77" s="4" t="inlineStr">
        <is>
          <t>Apply productivity license</t>
        </is>
      </c>
      <c r="H77" s="4" t="inlineStr">
        <is>
          <t>Approved</t>
        </is>
      </c>
      <c r="I77" s="4" t="inlineStr">
        <is>
          <t>In Progress</t>
        </is>
      </c>
      <c r="J77" s="4" t="inlineStr">
        <is>
          <t>IAM Operations</t>
        </is>
      </c>
      <c r="K77" s="4" t="n">
        <v>8</v>
      </c>
      <c r="L77" s="4" t="n"/>
      <c r="M77" s="4">
        <f>IF(OR(I77="Waiting Approval",I77="In Progress"),"Pending",IF(L77&lt;=K77,"Yes","No"))</f>
        <v/>
      </c>
      <c r="N77" s="4" t="inlineStr">
        <is>
          <t>Mailbox Enablement request aligned to Azure AD workflow.</t>
        </is>
      </c>
    </row>
    <row r="78">
      <c r="A78" s="4" t="inlineStr">
        <is>
          <t>REQ20076</t>
        </is>
      </c>
      <c r="B78" s="11" t="n">
        <v>46050.45833333334</v>
      </c>
      <c r="C78" s="4" t="inlineStr">
        <is>
          <t>Pooja Gupta</t>
        </is>
      </c>
      <c r="D78" s="4" t="inlineStr">
        <is>
          <t>Customer Support</t>
        </is>
      </c>
      <c r="E78" s="4" t="inlineStr">
        <is>
          <t>MFA Enrollment</t>
        </is>
      </c>
      <c r="F78" s="4" t="inlineStr">
        <is>
          <t>Okta</t>
        </is>
      </c>
      <c r="G78" s="4" t="inlineStr">
        <is>
          <t>Enroll user in MFA factor</t>
        </is>
      </c>
      <c r="H78" s="4" t="inlineStr">
        <is>
          <t>Approved</t>
        </is>
      </c>
      <c r="I78" s="4" t="inlineStr">
        <is>
          <t>Completed</t>
        </is>
      </c>
      <c r="J78" s="4" t="inlineStr">
        <is>
          <t>IAM Operations</t>
        </is>
      </c>
      <c r="K78" s="4" t="n">
        <v>4</v>
      </c>
      <c r="L78" s="4" t="n">
        <v>2.8</v>
      </c>
      <c r="M78" s="4">
        <f>IF(OR(I78="Waiting Approval",I78="In Progress"),"Pending",IF(L78&lt;=K78,"Yes","No"))</f>
        <v/>
      </c>
      <c r="N78" s="4" t="inlineStr">
        <is>
          <t>MFA Enrollment request aligned to Okta workflow.</t>
        </is>
      </c>
    </row>
    <row r="79">
      <c r="A79" s="4" t="inlineStr">
        <is>
          <t>REQ20077</t>
        </is>
      </c>
      <c r="B79" s="11" t="n">
        <v>46085.625</v>
      </c>
      <c r="C79" s="4" t="inlineStr">
        <is>
          <t>Divya Das</t>
        </is>
      </c>
      <c r="D79" s="4" t="inlineStr">
        <is>
          <t>Procurement</t>
        </is>
      </c>
      <c r="E79" s="4" t="inlineStr">
        <is>
          <t>Password Reset</t>
        </is>
      </c>
      <c r="F79" s="4" t="inlineStr">
        <is>
          <t>Active Directory</t>
        </is>
      </c>
      <c r="G79" s="4" t="inlineStr">
        <is>
          <t>Reset password and verify login</t>
        </is>
      </c>
      <c r="H79" s="4" t="inlineStr">
        <is>
          <t>Approved</t>
        </is>
      </c>
      <c r="I79" s="4" t="inlineStr">
        <is>
          <t>Completed</t>
        </is>
      </c>
      <c r="J79" s="4" t="inlineStr">
        <is>
          <t>Service Desk</t>
        </is>
      </c>
      <c r="K79" s="4" t="n">
        <v>4</v>
      </c>
      <c r="L79" s="4" t="n">
        <v>2.9</v>
      </c>
      <c r="M79" s="4">
        <f>IF(OR(I79="Waiting Approval",I79="In Progress"),"Pending",IF(L79&lt;=K79,"Yes","No"))</f>
        <v/>
      </c>
      <c r="N79" s="4" t="inlineStr">
        <is>
          <t>Password Reset request aligned to Active Directory workflow.</t>
        </is>
      </c>
    </row>
    <row r="80">
      <c r="A80" s="4" t="inlineStr">
        <is>
          <t>REQ20078</t>
        </is>
      </c>
      <c r="B80" s="11" t="n">
        <v>46086.33333333334</v>
      </c>
      <c r="C80" s="4" t="inlineStr">
        <is>
          <t>Ravi Jain</t>
        </is>
      </c>
      <c r="D80" s="4" t="inlineStr">
        <is>
          <t>HR</t>
        </is>
      </c>
      <c r="E80" s="4" t="inlineStr">
        <is>
          <t>VPN Access</t>
        </is>
      </c>
      <c r="F80" s="4" t="inlineStr">
        <is>
          <t>VPN</t>
        </is>
      </c>
      <c r="G80" s="4" t="inlineStr">
        <is>
          <t>Provision VPN access</t>
        </is>
      </c>
      <c r="H80" s="4" t="inlineStr">
        <is>
          <t>Approved</t>
        </is>
      </c>
      <c r="I80" s="4" t="inlineStr">
        <is>
          <t>Completed</t>
        </is>
      </c>
      <c r="J80" s="4" t="inlineStr">
        <is>
          <t>Service Desk</t>
        </is>
      </c>
      <c r="K80" s="4" t="n">
        <v>8</v>
      </c>
      <c r="L80" s="4" t="n">
        <v>2.7</v>
      </c>
      <c r="M80" s="4">
        <f>IF(OR(I80="Waiting Approval",I80="In Progress"),"Pending",IF(L80&lt;=K80,"Yes","No"))</f>
        <v/>
      </c>
      <c r="N80" s="4" t="inlineStr">
        <is>
          <t>VPN Access request aligned to VPN workflow.</t>
        </is>
      </c>
    </row>
    <row r="81">
      <c r="A81" s="4" t="inlineStr">
        <is>
          <t>REQ20079</t>
        </is>
      </c>
      <c r="B81" s="11" t="n">
        <v>46056.58333333334</v>
      </c>
      <c r="C81" s="4" t="inlineStr">
        <is>
          <t>Divya Iyer</t>
        </is>
      </c>
      <c r="D81" s="4" t="inlineStr">
        <is>
          <t>Procurement</t>
        </is>
      </c>
      <c r="E81" s="4" t="inlineStr">
        <is>
          <t>Mailbox Enablement</t>
        </is>
      </c>
      <c r="F81" s="4" t="inlineStr">
        <is>
          <t>Azure AD</t>
        </is>
      </c>
      <c r="G81" s="4" t="inlineStr">
        <is>
          <t>Apply productivity license</t>
        </is>
      </c>
      <c r="H81" s="4" t="inlineStr">
        <is>
          <t>Pending</t>
        </is>
      </c>
      <c r="I81" s="4" t="inlineStr">
        <is>
          <t>Waiting Approval</t>
        </is>
      </c>
      <c r="J81" s="4" t="inlineStr">
        <is>
          <t>IAM Operations</t>
        </is>
      </c>
      <c r="K81" s="4" t="n">
        <v>8</v>
      </c>
      <c r="L81" s="4" t="n"/>
      <c r="M81" s="4">
        <f>IF(OR(I81="Waiting Approval",I81="In Progress"),"Pending",IF(L81&lt;=K81,"Yes","No"))</f>
        <v/>
      </c>
      <c r="N81" s="4" t="inlineStr">
        <is>
          <t>Mailbox Enablement request aligned to Azure AD workflow.</t>
        </is>
      </c>
    </row>
  </sheetData>
  <autoFilter ref="A1:N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7" customWidth="1" min="4" max="4"/>
    <col width="10" customWidth="1" min="5" max="5"/>
    <col width="19" customWidth="1" min="6" max="6"/>
    <col width="24" customWidth="1" min="7" max="7"/>
    <col width="34" customWidth="1" min="8" max="8"/>
    <col width="38" customWidth="1" min="9" max="9"/>
    <col width="46" customWidth="1" min="10" max="10"/>
    <col width="16" customWidth="1" min="11" max="11"/>
  </cols>
  <sheetData>
    <row r="1">
      <c r="A1" s="7" t="inlineStr">
        <is>
          <t>Ticket ID</t>
        </is>
      </c>
      <c r="B1" s="7" t="inlineStr">
        <is>
          <t>Issue Summary</t>
        </is>
      </c>
      <c r="C1" s="7" t="inlineStr">
        <is>
          <t>Category</t>
        </is>
      </c>
      <c r="D1" s="7" t="inlineStr">
        <is>
          <t>Primary Tool</t>
        </is>
      </c>
      <c r="E1" s="7" t="inlineStr">
        <is>
          <t>Priority</t>
        </is>
      </c>
      <c r="F1" s="7" t="inlineStr">
        <is>
          <t>Opened Date</t>
        </is>
      </c>
      <c r="G1" s="7" t="inlineStr">
        <is>
          <t>Escalated To</t>
        </is>
      </c>
      <c r="H1" s="7" t="inlineStr">
        <is>
          <t>Reason for Escalation</t>
        </is>
      </c>
      <c r="I1" s="7" t="inlineStr">
        <is>
          <t>Business Impact</t>
        </is>
      </c>
      <c r="J1" s="7" t="inlineStr">
        <is>
          <t>Handoff Notes</t>
        </is>
      </c>
      <c r="K1" s="7" t="inlineStr">
        <is>
          <t>Current Status</t>
        </is>
      </c>
    </row>
    <row r="2">
      <c r="A2" s="4" t="inlineStr">
        <is>
          <t>INC100001</t>
        </is>
      </c>
      <c r="B2" s="4" t="inlineStr">
        <is>
          <t>SharePoint file sync failing on laptop</t>
        </is>
      </c>
      <c r="C2" s="4" t="inlineStr">
        <is>
          <t>Software</t>
        </is>
      </c>
      <c r="D2" s="4" t="inlineStr">
        <is>
          <t>SharePoint</t>
        </is>
      </c>
      <c r="E2" s="4" t="inlineStr">
        <is>
          <t>Medium</t>
        </is>
      </c>
      <c r="F2" s="11" t="n">
        <v>46067.02083333334</v>
      </c>
      <c r="G2" s="4" t="inlineStr">
        <is>
          <t>L2 Collaboration Team</t>
        </is>
      </c>
      <c r="H2" s="4" t="inlineStr">
        <is>
          <t>Issue exceeded L1 troubleshooting scope</t>
        </is>
      </c>
      <c r="I2" s="4" t="inlineStr">
        <is>
          <t>Multiple failed authentication attempts affecting productivity</t>
        </is>
      </c>
      <c r="J2" s="4" t="inlineStr">
        <is>
          <t>L1 checks completed; shared logs, user impact, and troubleshooting history with L2 Collaboration Team.</t>
        </is>
      </c>
      <c r="K2" s="4" t="inlineStr">
        <is>
          <t>Assigned to L2</t>
        </is>
      </c>
    </row>
    <row r="3">
      <c r="A3" s="4" t="inlineStr">
        <is>
          <t>INC100006</t>
        </is>
      </c>
      <c r="B3" s="4" t="inlineStr">
        <is>
          <t>Account needs disablement after employee exit</t>
        </is>
      </c>
      <c r="C3" s="4" t="inlineStr">
        <is>
          <t>Access</t>
        </is>
      </c>
      <c r="D3" s="4" t="inlineStr">
        <is>
          <t>Active Directory</t>
        </is>
      </c>
      <c r="E3" s="4" t="inlineStr">
        <is>
          <t>High</t>
        </is>
      </c>
      <c r="F3" s="11" t="n">
        <v>46081.6875</v>
      </c>
      <c r="G3" s="4" t="inlineStr">
        <is>
          <t>L2 IAM Engineering</t>
        </is>
      </c>
      <c r="H3" s="4" t="inlineStr">
        <is>
          <t>Compliance state not updating after standard sync</t>
        </is>
      </c>
      <c r="I3" s="4" t="inlineStr">
        <is>
          <t>Collaboration and document access interrupted</t>
        </is>
      </c>
      <c r="J3" s="4" t="inlineStr">
        <is>
          <t>L1 checks completed; shared logs, user impact, and troubleshooting history with L2 IAM Engineering.</t>
        </is>
      </c>
      <c r="K3" s="4" t="inlineStr">
        <is>
          <t>Assigned to L2</t>
        </is>
      </c>
    </row>
    <row r="4">
      <c r="A4" s="4" t="inlineStr">
        <is>
          <t>INC100007</t>
        </is>
      </c>
      <c r="B4" s="4" t="inlineStr">
        <is>
          <t>System performance slow after updates</t>
        </is>
      </c>
      <c r="C4" s="4" t="inlineStr">
        <is>
          <t>Hardware</t>
        </is>
      </c>
      <c r="D4" s="4" t="inlineStr">
        <is>
          <t>Windows</t>
        </is>
      </c>
      <c r="E4" s="4" t="inlineStr">
        <is>
          <t>Medium</t>
        </is>
      </c>
      <c r="F4" s="11" t="n">
        <v>46033.26041666666</v>
      </c>
      <c r="G4" s="4" t="inlineStr">
        <is>
          <t>L2 Endpoint Engineering</t>
        </is>
      </c>
      <c r="H4" s="4" t="inlineStr">
        <is>
          <t>Requires backend platform review</t>
        </is>
      </c>
      <c r="I4" s="4" t="inlineStr">
        <is>
          <t>Access blocked for payroll / finance processing</t>
        </is>
      </c>
      <c r="J4" s="4" t="inlineStr">
        <is>
          <t>L1 checks completed; shared logs, user impact, and troubleshooting history with L2 Endpoint Engineering.</t>
        </is>
      </c>
      <c r="K4" s="4" t="inlineStr">
        <is>
          <t>Assigned to L2</t>
        </is>
      </c>
    </row>
    <row r="5">
      <c r="A5" s="4" t="inlineStr">
        <is>
          <t>INC100008</t>
        </is>
      </c>
      <c r="B5" s="4" t="inlineStr">
        <is>
          <t>Account needs disablement after employee exit</t>
        </is>
      </c>
      <c r="C5" s="4" t="inlineStr">
        <is>
          <t>Access</t>
        </is>
      </c>
      <c r="D5" s="4" t="inlineStr">
        <is>
          <t>Active Directory</t>
        </is>
      </c>
      <c r="E5" s="4" t="inlineStr">
        <is>
          <t>Medium</t>
        </is>
      </c>
      <c r="F5" s="11" t="n">
        <v>46064.42708333334</v>
      </c>
      <c r="G5" s="4" t="inlineStr">
        <is>
          <t>L2 IAM Engineering</t>
        </is>
      </c>
      <c r="H5" s="4" t="inlineStr">
        <is>
          <t>Compliance state not updating after standard sync</t>
        </is>
      </c>
      <c r="I5" s="4" t="inlineStr">
        <is>
          <t>Multiple failed authentication attempts affecting productivity</t>
        </is>
      </c>
      <c r="J5" s="4" t="inlineStr">
        <is>
          <t>L1 checks completed; shared logs, user impact, and troubleshooting history with L2 IAM Engineering.</t>
        </is>
      </c>
      <c r="K5" s="4" t="inlineStr">
        <is>
          <t>Resolved by L2</t>
        </is>
      </c>
    </row>
    <row r="6">
      <c r="A6" s="4" t="inlineStr">
        <is>
          <t>INC100022</t>
        </is>
      </c>
      <c r="B6" s="4" t="inlineStr">
        <is>
          <t>Access denied to SharePoint team site</t>
        </is>
      </c>
      <c r="C6" s="4" t="inlineStr">
        <is>
          <t>Access</t>
        </is>
      </c>
      <c r="D6" s="4" t="inlineStr">
        <is>
          <t>SharePoint</t>
        </is>
      </c>
      <c r="E6" s="4" t="inlineStr">
        <is>
          <t>High</t>
        </is>
      </c>
      <c r="F6" s="11" t="n">
        <v>46098.03125</v>
      </c>
      <c r="G6" s="4" t="inlineStr">
        <is>
          <t>L2 Collaboration Team</t>
        </is>
      </c>
      <c r="H6" s="4" t="inlineStr">
        <is>
          <t>Requires backend platform review</t>
        </is>
      </c>
      <c r="I6" s="4" t="inlineStr">
        <is>
          <t>User unable to work on business-critical application</t>
        </is>
      </c>
      <c r="J6" s="4" t="inlineStr">
        <is>
          <t>L1 checks completed; shared logs, user impact, and troubleshooting history with L2 Collaboration Team.</t>
        </is>
      </c>
      <c r="K6" s="4" t="inlineStr">
        <is>
          <t>Under Investigation</t>
        </is>
      </c>
    </row>
    <row r="7">
      <c r="A7" s="4" t="inlineStr">
        <is>
          <t>INC100023</t>
        </is>
      </c>
      <c r="B7" s="4" t="inlineStr">
        <is>
          <t>New user mailbox access not available</t>
        </is>
      </c>
      <c r="C7" s="4" t="inlineStr">
        <is>
          <t>Access</t>
        </is>
      </c>
      <c r="D7" s="4" t="inlineStr">
        <is>
          <t>Azure AD</t>
        </is>
      </c>
      <c r="E7" s="4" t="inlineStr">
        <is>
          <t>Medium</t>
        </is>
      </c>
      <c r="F7" s="11" t="n">
        <v>46071.82291666666</v>
      </c>
      <c r="G7" s="4" t="inlineStr">
        <is>
          <t>L2 IAM Engineering</t>
        </is>
      </c>
      <c r="H7" s="4" t="inlineStr">
        <is>
          <t>Policy / configuration change required</t>
        </is>
      </c>
      <c r="I7" s="4" t="inlineStr">
        <is>
          <t>Access blocked for payroll / finance processing</t>
        </is>
      </c>
      <c r="J7" s="4" t="inlineStr">
        <is>
          <t>L1 checks completed; shared logs, user impact, and troubleshooting history with L2 IAM Engineering.</t>
        </is>
      </c>
      <c r="K7" s="4" t="inlineStr">
        <is>
          <t>Resolved by L2</t>
        </is>
      </c>
    </row>
    <row r="8">
      <c r="A8" s="4" t="inlineStr">
        <is>
          <t>INC100026</t>
        </is>
      </c>
      <c r="B8" s="4" t="inlineStr">
        <is>
          <t>OTP not received for sign-in verification</t>
        </is>
      </c>
      <c r="C8" s="4" t="inlineStr">
        <is>
          <t>Access</t>
        </is>
      </c>
      <c r="D8" s="4" t="inlineStr">
        <is>
          <t>Okta</t>
        </is>
      </c>
      <c r="E8" s="4" t="inlineStr">
        <is>
          <t>Medium</t>
        </is>
      </c>
      <c r="F8" s="11" t="n">
        <v>46085.07291666666</v>
      </c>
      <c r="G8" s="4" t="inlineStr">
        <is>
          <t>L2 Identity Platform</t>
        </is>
      </c>
      <c r="H8" s="4" t="inlineStr">
        <is>
          <t>Requires backend platform review</t>
        </is>
      </c>
      <c r="I8" s="4" t="inlineStr">
        <is>
          <t>Collaboration and document access interrupted</t>
        </is>
      </c>
      <c r="J8" s="4" t="inlineStr">
        <is>
          <t>L1 checks completed; shared logs, user impact, and troubleshooting history with L2 Identity Platform.</t>
        </is>
      </c>
      <c r="K8" s="4" t="inlineStr">
        <is>
          <t>Awaiting Vendor</t>
        </is>
      </c>
    </row>
    <row r="9">
      <c r="A9" s="4" t="inlineStr">
        <is>
          <t>INC100028</t>
        </is>
      </c>
      <c r="B9" s="4" t="inlineStr">
        <is>
          <t>Access denied to SharePoint team site</t>
        </is>
      </c>
      <c r="C9" s="4" t="inlineStr">
        <is>
          <t>Access</t>
        </is>
      </c>
      <c r="D9" s="4" t="inlineStr">
        <is>
          <t>SharePoint</t>
        </is>
      </c>
      <c r="E9" s="4" t="inlineStr">
        <is>
          <t>High</t>
        </is>
      </c>
      <c r="F9" s="11" t="n">
        <v>46040.875</v>
      </c>
      <c r="G9" s="4" t="inlineStr">
        <is>
          <t>L2 Collaboration Team</t>
        </is>
      </c>
      <c r="H9" s="4" t="inlineStr">
        <is>
          <t>Policy / configuration change required</t>
        </is>
      </c>
      <c r="I9" s="4" t="inlineStr">
        <is>
          <t>Remote employee unable to connect to corporate resources</t>
        </is>
      </c>
      <c r="J9" s="4" t="inlineStr">
        <is>
          <t>L1 checks completed; shared logs, user impact, and troubleshooting history with L2 Collaboration Team.</t>
        </is>
      </c>
      <c r="K9" s="4" t="inlineStr">
        <is>
          <t>Under Investigation</t>
        </is>
      </c>
    </row>
    <row r="10">
      <c r="A10" s="4" t="inlineStr">
        <is>
          <t>INC100035</t>
        </is>
      </c>
      <c r="B10" s="4" t="inlineStr">
        <is>
          <t>Unable to join Teams meeting from desktop app</t>
        </is>
      </c>
      <c r="C10" s="4" t="inlineStr">
        <is>
          <t>Software</t>
        </is>
      </c>
      <c r="D10" s="4" t="inlineStr">
        <is>
          <t>Microsoft Teams</t>
        </is>
      </c>
      <c r="E10" s="4" t="inlineStr">
        <is>
          <t>Low</t>
        </is>
      </c>
      <c r="F10" s="11" t="n">
        <v>46030.65625</v>
      </c>
      <c r="G10" s="4" t="inlineStr">
        <is>
          <t>L2 Workplace Support</t>
        </is>
      </c>
      <c r="H10" s="4" t="inlineStr">
        <is>
          <t>Issue exceeded L1 troubleshooting scope</t>
        </is>
      </c>
      <c r="I10" s="4" t="inlineStr">
        <is>
          <t>Multiple failed authentication attempts affecting productivity</t>
        </is>
      </c>
      <c r="J10" s="4" t="inlineStr">
        <is>
          <t>L1 checks completed; shared logs, user impact, and troubleshooting history with L2 Workplace Support.</t>
        </is>
      </c>
      <c r="K10" s="4" t="inlineStr">
        <is>
          <t>Resolved by L2</t>
        </is>
      </c>
    </row>
    <row r="11">
      <c r="A11" s="4" t="inlineStr">
        <is>
          <t>INC100039</t>
        </is>
      </c>
      <c r="B11" s="4" t="inlineStr">
        <is>
          <t>Outlook not opening on startup</t>
        </is>
      </c>
      <c r="C11" s="4" t="inlineStr">
        <is>
          <t>Software</t>
        </is>
      </c>
      <c r="D11" s="4" t="inlineStr">
        <is>
          <t>Microsoft Office</t>
        </is>
      </c>
      <c r="E11" s="4" t="inlineStr">
        <is>
          <t>Low</t>
        </is>
      </c>
      <c r="F11" s="11" t="n">
        <v>46094.27083333334</v>
      </c>
      <c r="G11" s="4" t="inlineStr">
        <is>
          <t>L2 Workplace Support</t>
        </is>
      </c>
      <c r="H11" s="4" t="inlineStr">
        <is>
          <t>Compliance state not updating after standard sync</t>
        </is>
      </c>
      <c r="I11" s="4" t="inlineStr">
        <is>
          <t>Access blocked for payroll / finance processing</t>
        </is>
      </c>
      <c r="J11" s="4" t="inlineStr">
        <is>
          <t>L1 checks completed; shared logs, user impact, and troubleshooting history with L2 Workplace Support.</t>
        </is>
      </c>
      <c r="K11" s="4" t="inlineStr">
        <is>
          <t>Resolved by L2</t>
        </is>
      </c>
    </row>
    <row r="12">
      <c r="A12" s="4" t="inlineStr">
        <is>
          <t>INC100040</t>
        </is>
      </c>
      <c r="B12" s="4" t="inlineStr">
        <is>
          <t>Device marked non-compliant in management portal</t>
        </is>
      </c>
      <c r="C12" s="4" t="inlineStr">
        <is>
          <t>Compliance</t>
        </is>
      </c>
      <c r="D12" s="4" t="inlineStr">
        <is>
          <t>Intune</t>
        </is>
      </c>
      <c r="E12" s="4" t="inlineStr">
        <is>
          <t>Medium</t>
        </is>
      </c>
      <c r="F12" s="11" t="n">
        <v>46037.36458333334</v>
      </c>
      <c r="G12" s="4" t="inlineStr">
        <is>
          <t>L2 Endpoint Engineering</t>
        </is>
      </c>
      <c r="H12" s="4" t="inlineStr">
        <is>
          <t>Compliance state not updating after standard sync</t>
        </is>
      </c>
      <c r="I12" s="4" t="inlineStr">
        <is>
          <t>User unable to work on business-critical application</t>
        </is>
      </c>
      <c r="J12" s="4" t="inlineStr">
        <is>
          <t>L1 checks completed; shared logs, user impact, and troubleshooting history with L2 Endpoint Engineering.</t>
        </is>
      </c>
      <c r="K12" s="4" t="inlineStr">
        <is>
          <t>Assigned to L2</t>
        </is>
      </c>
    </row>
    <row r="13">
      <c r="A13" s="4" t="inlineStr">
        <is>
          <t>INC100050</t>
        </is>
      </c>
      <c r="B13" s="4" t="inlineStr">
        <is>
          <t>System performance slow after updates</t>
        </is>
      </c>
      <c r="C13" s="4" t="inlineStr">
        <is>
          <t>Hardware</t>
        </is>
      </c>
      <c r="D13" s="4" t="inlineStr">
        <is>
          <t>Windows</t>
        </is>
      </c>
      <c r="E13" s="4" t="inlineStr">
        <is>
          <t>Low</t>
        </is>
      </c>
      <c r="F13" s="11" t="n">
        <v>46052.48958333334</v>
      </c>
      <c r="G13" s="4" t="inlineStr">
        <is>
          <t>L2 Endpoint Engineering</t>
        </is>
      </c>
      <c r="H13" s="4" t="inlineStr">
        <is>
          <t>Requires backend platform review</t>
        </is>
      </c>
      <c r="I13" s="4" t="inlineStr">
        <is>
          <t>Remote employee unable to connect to corporate resources</t>
        </is>
      </c>
      <c r="J13" s="4" t="inlineStr">
        <is>
          <t>L1 checks completed; shared logs, user impact, and troubleshooting history with L2 Endpoint Engineering.</t>
        </is>
      </c>
      <c r="K13" s="4" t="inlineStr">
        <is>
          <t>Under Investigation</t>
        </is>
      </c>
    </row>
    <row r="14">
      <c r="A14" s="4" t="inlineStr">
        <is>
          <t>INC100055</t>
        </is>
      </c>
      <c r="B14" s="4" t="inlineStr">
        <is>
          <t>Password reset required after expiry</t>
        </is>
      </c>
      <c r="C14" s="4" t="inlineStr">
        <is>
          <t>Login</t>
        </is>
      </c>
      <c r="D14" s="4" t="inlineStr">
        <is>
          <t>Active Directory</t>
        </is>
      </c>
      <c r="E14" s="4" t="inlineStr">
        <is>
          <t>Medium</t>
        </is>
      </c>
      <c r="F14" s="11" t="n">
        <v>46074.65625</v>
      </c>
      <c r="G14" s="4" t="inlineStr">
        <is>
          <t>L2 IAM Engineering</t>
        </is>
      </c>
      <c r="H14" s="4" t="inlineStr">
        <is>
          <t>Policy / configuration change required</t>
        </is>
      </c>
      <c r="I14" s="4" t="inlineStr">
        <is>
          <t>Collaboration and document access interrupted</t>
        </is>
      </c>
      <c r="J14" s="4" t="inlineStr">
        <is>
          <t>L1 checks completed; shared logs, user impact, and troubleshooting history with L2 IAM Engineering.</t>
        </is>
      </c>
      <c r="K14" s="4" t="inlineStr">
        <is>
          <t>Under Investigation</t>
        </is>
      </c>
    </row>
    <row r="15">
      <c r="A15" s="4" t="inlineStr">
        <is>
          <t>INC100056</t>
        </is>
      </c>
      <c r="B15" s="4" t="inlineStr">
        <is>
          <t>Antivirus disabled warning on endpoint</t>
        </is>
      </c>
      <c r="C15" s="4" t="inlineStr">
        <is>
          <t>Compliance</t>
        </is>
      </c>
      <c r="D15" s="4" t="inlineStr">
        <is>
          <t>Intune</t>
        </is>
      </c>
      <c r="E15" s="4" t="inlineStr">
        <is>
          <t>High</t>
        </is>
      </c>
      <c r="F15" s="11" t="n">
        <v>46069.66666666666</v>
      </c>
      <c r="G15" s="4" t="inlineStr">
        <is>
          <t>L2 Endpoint Engineering</t>
        </is>
      </c>
      <c r="H15" s="4" t="inlineStr">
        <is>
          <t>Requires backend platform review</t>
        </is>
      </c>
      <c r="I15" s="4" t="inlineStr">
        <is>
          <t>User unable to work on business-critical application</t>
        </is>
      </c>
      <c r="J15" s="4" t="inlineStr">
        <is>
          <t>L1 checks completed; shared logs, user impact, and troubleshooting history with L2 Endpoint Engineering.</t>
        </is>
      </c>
      <c r="K15" s="4" t="inlineStr">
        <is>
          <t>Under Investigation</t>
        </is>
      </c>
    </row>
    <row r="16">
      <c r="A16" s="4" t="inlineStr">
        <is>
          <t>INC100057</t>
        </is>
      </c>
      <c r="B16" s="4" t="inlineStr">
        <is>
          <t>Antivirus disabled warning on endpoint</t>
        </is>
      </c>
      <c r="C16" s="4" t="inlineStr">
        <is>
          <t>Compliance</t>
        </is>
      </c>
      <c r="D16" s="4" t="inlineStr">
        <is>
          <t>Intune</t>
        </is>
      </c>
      <c r="E16" s="4" t="inlineStr">
        <is>
          <t>High</t>
        </is>
      </c>
      <c r="F16" s="11" t="n">
        <v>46083.59375</v>
      </c>
      <c r="G16" s="4" t="inlineStr">
        <is>
          <t>L2 Endpoint Engineering</t>
        </is>
      </c>
      <c r="H16" s="4" t="inlineStr">
        <is>
          <t>Access dependency pending higher-level approval</t>
        </is>
      </c>
      <c r="I16" s="4" t="inlineStr">
        <is>
          <t>Multiple failed authentication attempts affecting productivity</t>
        </is>
      </c>
      <c r="J16" s="4" t="inlineStr">
        <is>
          <t>L1 checks completed; shared logs, user impact, and troubleshooting history with L2 Endpoint Engineering.</t>
        </is>
      </c>
      <c r="K16" s="4" t="inlineStr">
        <is>
          <t>Awaiting Vendor</t>
        </is>
      </c>
    </row>
    <row r="17">
      <c r="A17" s="4" t="inlineStr">
        <is>
          <t>INC100059</t>
        </is>
      </c>
      <c r="B17" s="4" t="inlineStr">
        <is>
          <t>Teams login failure after password change</t>
        </is>
      </c>
      <c r="C17" s="4" t="inlineStr">
        <is>
          <t>Software</t>
        </is>
      </c>
      <c r="D17" s="4" t="inlineStr">
        <is>
          <t>Microsoft Teams</t>
        </is>
      </c>
      <c r="E17" s="4" t="inlineStr">
        <is>
          <t>Medium</t>
        </is>
      </c>
      <c r="F17" s="11" t="n">
        <v>46074.32291666666</v>
      </c>
      <c r="G17" s="4" t="inlineStr">
        <is>
          <t>L2 Workplace Support</t>
        </is>
      </c>
      <c r="H17" s="4" t="inlineStr">
        <is>
          <t>Requires backend platform review</t>
        </is>
      </c>
      <c r="I17" s="4" t="inlineStr">
        <is>
          <t>Multiple failed authentication attempts affecting productivity</t>
        </is>
      </c>
      <c r="J17" s="4" t="inlineStr">
        <is>
          <t>L1 checks completed; shared logs, user impact, and troubleshooting history with L2 Workplace Support.</t>
        </is>
      </c>
      <c r="K17" s="4" t="inlineStr">
        <is>
          <t>Awaiting Vendor</t>
        </is>
      </c>
    </row>
    <row r="18">
      <c r="A18" s="4" t="inlineStr">
        <is>
          <t>INC100062</t>
        </is>
      </c>
      <c r="B18" s="4" t="inlineStr">
        <is>
          <t>Printer not responding for shared queue</t>
        </is>
      </c>
      <c r="C18" s="4" t="inlineStr">
        <is>
          <t>Hardware</t>
        </is>
      </c>
      <c r="D18" s="4" t="inlineStr">
        <is>
          <t>Printer</t>
        </is>
      </c>
      <c r="E18" s="4" t="inlineStr">
        <is>
          <t>Low</t>
        </is>
      </c>
      <c r="F18" s="11" t="n">
        <v>46089.65625</v>
      </c>
      <c r="G18" s="4" t="inlineStr">
        <is>
          <t>L2 Field Support</t>
        </is>
      </c>
      <c r="H18" s="4" t="inlineStr">
        <is>
          <t>Requires backend platform review</t>
        </is>
      </c>
      <c r="I18" s="4" t="inlineStr">
        <is>
          <t>User unable to work on business-critical application</t>
        </is>
      </c>
      <c r="J18" s="4" t="inlineStr">
        <is>
          <t>L1 checks completed; shared logs, user impact, and troubleshooting history with L2 Field Support.</t>
        </is>
      </c>
      <c r="K18" s="4" t="inlineStr">
        <is>
          <t>Assigned to L2</t>
        </is>
      </c>
    </row>
    <row r="19">
      <c r="A19" s="4" t="inlineStr">
        <is>
          <t>INC100070</t>
        </is>
      </c>
      <c r="B19" s="4" t="inlineStr">
        <is>
          <t>Role-based access required for finance application</t>
        </is>
      </c>
      <c r="C19" s="4" t="inlineStr">
        <is>
          <t>Access</t>
        </is>
      </c>
      <c r="D19" s="4" t="inlineStr">
        <is>
          <t>Azure AD</t>
        </is>
      </c>
      <c r="E19" s="4" t="inlineStr">
        <is>
          <t>Medium</t>
        </is>
      </c>
      <c r="F19" s="11" t="n">
        <v>46082.8125</v>
      </c>
      <c r="G19" s="4" t="inlineStr">
        <is>
          <t>L2 IAM Engineering</t>
        </is>
      </c>
      <c r="H19" s="4" t="inlineStr">
        <is>
          <t>Access dependency pending higher-level approval</t>
        </is>
      </c>
      <c r="I19" s="4" t="inlineStr">
        <is>
          <t>Access blocked for payroll / finance processing</t>
        </is>
      </c>
      <c r="J19" s="4" t="inlineStr">
        <is>
          <t>L1 checks completed; shared logs, user impact, and troubleshooting history with L2 IAM Engineering.</t>
        </is>
      </c>
      <c r="K19" s="4" t="inlineStr">
        <is>
          <t>Resolved by L2</t>
        </is>
      </c>
    </row>
    <row r="20">
      <c r="A20" s="4" t="inlineStr">
        <is>
          <t>INC100071</t>
        </is>
      </c>
      <c r="B20" s="4" t="inlineStr">
        <is>
          <t>System performance slow after updates</t>
        </is>
      </c>
      <c r="C20" s="4" t="inlineStr">
        <is>
          <t>Hardware</t>
        </is>
      </c>
      <c r="D20" s="4" t="inlineStr">
        <is>
          <t>Windows</t>
        </is>
      </c>
      <c r="E20" s="4" t="inlineStr">
        <is>
          <t>Low</t>
        </is>
      </c>
      <c r="F20" s="11" t="n">
        <v>46063.16666666666</v>
      </c>
      <c r="G20" s="4" t="inlineStr">
        <is>
          <t>L2 Endpoint Engineering</t>
        </is>
      </c>
      <c r="H20" s="4" t="inlineStr">
        <is>
          <t>Issue exceeded L1 troubleshooting scope</t>
        </is>
      </c>
      <c r="I20" s="4" t="inlineStr">
        <is>
          <t>Remote employee unable to connect to corporate resources</t>
        </is>
      </c>
      <c r="J20" s="4" t="inlineStr">
        <is>
          <t>L1 checks completed; shared logs, user impact, and troubleshooting history with L2 Endpoint Engineering.</t>
        </is>
      </c>
      <c r="K20" s="4" t="inlineStr">
        <is>
          <t>Under Investigation</t>
        </is>
      </c>
    </row>
    <row r="21">
      <c r="A21" s="4" t="inlineStr">
        <is>
          <t>INC100087</t>
        </is>
      </c>
      <c r="B21" s="4" t="inlineStr">
        <is>
          <t>System performance slow after updates</t>
        </is>
      </c>
      <c r="C21" s="4" t="inlineStr">
        <is>
          <t>Hardware</t>
        </is>
      </c>
      <c r="D21" s="4" t="inlineStr">
        <is>
          <t>Windows</t>
        </is>
      </c>
      <c r="E21" s="4" t="inlineStr">
        <is>
          <t>Medium</t>
        </is>
      </c>
      <c r="F21" s="11" t="n">
        <v>46093.80208333334</v>
      </c>
      <c r="G21" s="4" t="inlineStr">
        <is>
          <t>L2 Endpoint Engineering</t>
        </is>
      </c>
      <c r="H21" s="4" t="inlineStr">
        <is>
          <t>Issue exceeded L1 troubleshooting scope</t>
        </is>
      </c>
      <c r="I21" s="4" t="inlineStr">
        <is>
          <t>Potential security exposure due to compliance gap</t>
        </is>
      </c>
      <c r="J21" s="4" t="inlineStr">
        <is>
          <t>L1 checks completed; shared logs, user impact, and troubleshooting history with L2 Endpoint Engineering.</t>
        </is>
      </c>
      <c r="K21" s="4" t="inlineStr">
        <is>
          <t>Assigned to L2</t>
        </is>
      </c>
    </row>
    <row r="22">
      <c r="A22" s="4" t="inlineStr">
        <is>
          <t>INC100107</t>
        </is>
      </c>
      <c r="B22" s="4" t="inlineStr">
        <is>
          <t>OS outdated and pending critical patches</t>
        </is>
      </c>
      <c r="C22" s="4" t="inlineStr">
        <is>
          <t>Compliance</t>
        </is>
      </c>
      <c r="D22" s="4" t="inlineStr">
        <is>
          <t>Intune</t>
        </is>
      </c>
      <c r="E22" s="4" t="inlineStr">
        <is>
          <t>High</t>
        </is>
      </c>
      <c r="F22" s="11" t="n">
        <v>46043.88541666666</v>
      </c>
      <c r="G22" s="4" t="inlineStr">
        <is>
          <t>L2 Endpoint Engineering</t>
        </is>
      </c>
      <c r="H22" s="4" t="inlineStr">
        <is>
          <t>Compliance state not updating after standard sync</t>
        </is>
      </c>
      <c r="I22" s="4" t="inlineStr">
        <is>
          <t>Potential security exposure due to compliance gap</t>
        </is>
      </c>
      <c r="J22" s="4" t="inlineStr">
        <is>
          <t>L1 checks completed; shared logs, user impact, and troubleshooting history with L2 Endpoint Engineering.</t>
        </is>
      </c>
      <c r="K22" s="4" t="inlineStr">
        <is>
          <t>Under Investigation</t>
        </is>
      </c>
    </row>
    <row r="23">
      <c r="A23" s="4" t="inlineStr">
        <is>
          <t>INC100108</t>
        </is>
      </c>
      <c r="B23" s="4" t="inlineStr">
        <is>
          <t>Account needs disablement after employee exit</t>
        </is>
      </c>
      <c r="C23" s="4" t="inlineStr">
        <is>
          <t>Access</t>
        </is>
      </c>
      <c r="D23" s="4" t="inlineStr">
        <is>
          <t>Active Directory</t>
        </is>
      </c>
      <c r="E23" s="4" t="inlineStr">
        <is>
          <t>Medium</t>
        </is>
      </c>
      <c r="F23" s="11" t="n">
        <v>46097.90625</v>
      </c>
      <c r="G23" s="4" t="inlineStr">
        <is>
          <t>L2 IAM Engineering</t>
        </is>
      </c>
      <c r="H23" s="4" t="inlineStr">
        <is>
          <t>Policy / configuration change required</t>
        </is>
      </c>
      <c r="I23" s="4" t="inlineStr">
        <is>
          <t>Potential security exposure due to compliance gap</t>
        </is>
      </c>
      <c r="J23" s="4" t="inlineStr">
        <is>
          <t>L1 checks completed; shared logs, user impact, and troubleshooting history with L2 IAM Engineering.</t>
        </is>
      </c>
      <c r="K23" s="4" t="inlineStr">
        <is>
          <t>Resolved by L2</t>
        </is>
      </c>
    </row>
    <row r="24">
      <c r="A24" s="4" t="inlineStr">
        <is>
          <t>INC100114</t>
        </is>
      </c>
      <c r="B24" s="4" t="inlineStr">
        <is>
          <t>Outlook not opening on startup</t>
        </is>
      </c>
      <c r="C24" s="4" t="inlineStr">
        <is>
          <t>Software</t>
        </is>
      </c>
      <c r="D24" s="4" t="inlineStr">
        <is>
          <t>Microsoft Office</t>
        </is>
      </c>
      <c r="E24" s="4" t="inlineStr">
        <is>
          <t>Medium</t>
        </is>
      </c>
      <c r="F24" s="11" t="n">
        <v>46091.09375</v>
      </c>
      <c r="G24" s="4" t="inlineStr">
        <is>
          <t>L2 Workplace Support</t>
        </is>
      </c>
      <c r="H24" s="4" t="inlineStr">
        <is>
          <t>Repeated recurrence after initial fix</t>
        </is>
      </c>
      <c r="I24" s="4" t="inlineStr">
        <is>
          <t>Access blocked for payroll / finance processing</t>
        </is>
      </c>
      <c r="J24" s="4" t="inlineStr">
        <is>
          <t>L1 checks completed; shared logs, user impact, and troubleshooting history with L2 Workplace Support.</t>
        </is>
      </c>
      <c r="K24" s="4" t="inlineStr">
        <is>
          <t>Assigned to L2</t>
        </is>
      </c>
    </row>
    <row r="25">
      <c r="A25" s="4" t="inlineStr">
        <is>
          <t>INC100129</t>
        </is>
      </c>
      <c r="B25" s="4" t="inlineStr">
        <is>
          <t>Unable to join Teams meeting from desktop app</t>
        </is>
      </c>
      <c r="C25" s="4" t="inlineStr">
        <is>
          <t>Software</t>
        </is>
      </c>
      <c r="D25" s="4" t="inlineStr">
        <is>
          <t>Microsoft Teams</t>
        </is>
      </c>
      <c r="E25" s="4" t="inlineStr">
        <is>
          <t>Medium</t>
        </is>
      </c>
      <c r="F25" s="11" t="n">
        <v>46050.96875</v>
      </c>
      <c r="G25" s="4" t="inlineStr">
        <is>
          <t>L2 Workplace Support</t>
        </is>
      </c>
      <c r="H25" s="4" t="inlineStr">
        <is>
          <t>Requires backend platform review</t>
        </is>
      </c>
      <c r="I25" s="4" t="inlineStr">
        <is>
          <t>Collaboration and document access interrupted</t>
        </is>
      </c>
      <c r="J25" s="4" t="inlineStr">
        <is>
          <t>L1 checks completed; shared logs, user impact, and troubleshooting history with L2 Workplace Support.</t>
        </is>
      </c>
      <c r="K25" s="4" t="inlineStr">
        <is>
          <t>Resolved by L2</t>
        </is>
      </c>
    </row>
    <row r="26">
      <c r="A26" s="4" t="inlineStr">
        <is>
          <t>INC100139</t>
        </is>
      </c>
      <c r="B26" s="4" t="inlineStr">
        <is>
          <t>Password reset required after expiry</t>
        </is>
      </c>
      <c r="C26" s="4" t="inlineStr">
        <is>
          <t>Login</t>
        </is>
      </c>
      <c r="D26" s="4" t="inlineStr">
        <is>
          <t>Active Directory</t>
        </is>
      </c>
      <c r="E26" s="4" t="inlineStr">
        <is>
          <t>High</t>
        </is>
      </c>
      <c r="F26" s="11" t="n">
        <v>46061.05208333334</v>
      </c>
      <c r="G26" s="4" t="inlineStr">
        <is>
          <t>L2 IAM Engineering</t>
        </is>
      </c>
      <c r="H26" s="4" t="inlineStr">
        <is>
          <t>Policy / configuration change required</t>
        </is>
      </c>
      <c r="I26" s="4" t="inlineStr">
        <is>
          <t>User unable to work on business-critical application</t>
        </is>
      </c>
      <c r="J26" s="4" t="inlineStr">
        <is>
          <t>L1 checks completed; shared logs, user impact, and troubleshooting history with L2 IAM Engineering.</t>
        </is>
      </c>
      <c r="K26" s="4" t="inlineStr">
        <is>
          <t>Assigned to L2</t>
        </is>
      </c>
    </row>
    <row r="27">
      <c r="A27" s="4" t="inlineStr">
        <is>
          <t>INC100143</t>
        </is>
      </c>
      <c r="B27" s="4" t="inlineStr">
        <is>
          <t>OTP not received for sign-in verification</t>
        </is>
      </c>
      <c r="C27" s="4" t="inlineStr">
        <is>
          <t>Access</t>
        </is>
      </c>
      <c r="D27" s="4" t="inlineStr">
        <is>
          <t>Okta</t>
        </is>
      </c>
      <c r="E27" s="4" t="inlineStr">
        <is>
          <t>Medium</t>
        </is>
      </c>
      <c r="F27" s="11" t="n">
        <v>46078.11458333334</v>
      </c>
      <c r="G27" s="4" t="inlineStr">
        <is>
          <t>L2 Identity Platform</t>
        </is>
      </c>
      <c r="H27" s="4" t="inlineStr">
        <is>
          <t>Repeated recurrence after initial fix</t>
        </is>
      </c>
      <c r="I27" s="4" t="inlineStr">
        <is>
          <t>Remote employee unable to connect to corporate resources</t>
        </is>
      </c>
      <c r="J27" s="4" t="inlineStr">
        <is>
          <t>L1 checks completed; shared logs, user impact, and troubleshooting history with L2 Identity Platform.</t>
        </is>
      </c>
      <c r="K27" s="4" t="inlineStr">
        <is>
          <t>Awaiting Vendor</t>
        </is>
      </c>
    </row>
    <row r="28">
      <c r="A28" s="4" t="inlineStr">
        <is>
          <t>INC100150</t>
        </is>
      </c>
      <c r="B28" s="4" t="inlineStr">
        <is>
          <t>Device marked non-compliant in management portal</t>
        </is>
      </c>
      <c r="C28" s="4" t="inlineStr">
        <is>
          <t>Compliance</t>
        </is>
      </c>
      <c r="D28" s="4" t="inlineStr">
        <is>
          <t>Intune</t>
        </is>
      </c>
      <c r="E28" s="4" t="inlineStr">
        <is>
          <t>High</t>
        </is>
      </c>
      <c r="F28" s="11" t="n">
        <v>46070.625</v>
      </c>
      <c r="G28" s="4" t="inlineStr">
        <is>
          <t>L2 Endpoint Engineering</t>
        </is>
      </c>
      <c r="H28" s="4" t="inlineStr">
        <is>
          <t>Compliance state not updating after standard sync</t>
        </is>
      </c>
      <c r="I28" s="4" t="inlineStr">
        <is>
          <t>Collaboration and document access interrupted</t>
        </is>
      </c>
      <c r="J28" s="4" t="inlineStr">
        <is>
          <t>L1 checks completed; shared logs, user impact, and troubleshooting history with L2 Endpoint Engineering.</t>
        </is>
      </c>
      <c r="K28" s="4" t="inlineStr">
        <is>
          <t>Resolved by L2</t>
        </is>
      </c>
    </row>
    <row r="29">
      <c r="A29" s="4" t="inlineStr">
        <is>
          <t>INC100151</t>
        </is>
      </c>
      <c r="B29" s="4" t="inlineStr">
        <is>
          <t>Access denied to SharePoint team site</t>
        </is>
      </c>
      <c r="C29" s="4" t="inlineStr">
        <is>
          <t>Access</t>
        </is>
      </c>
      <c r="D29" s="4" t="inlineStr">
        <is>
          <t>SharePoint</t>
        </is>
      </c>
      <c r="E29" s="4" t="inlineStr">
        <is>
          <t>Medium</t>
        </is>
      </c>
      <c r="F29" s="11" t="n">
        <v>46088.71875</v>
      </c>
      <c r="G29" s="4" t="inlineStr">
        <is>
          <t>L2 Collaboration Team</t>
        </is>
      </c>
      <c r="H29" s="4" t="inlineStr">
        <is>
          <t>Requires backend platform review</t>
        </is>
      </c>
      <c r="I29" s="4" t="inlineStr">
        <is>
          <t>Potential security exposure due to compliance gap</t>
        </is>
      </c>
      <c r="J29" s="4" t="inlineStr">
        <is>
          <t>L1 checks completed; shared logs, user impact, and troubleshooting history with L2 Collaboration Team.</t>
        </is>
      </c>
      <c r="K29" s="4" t="inlineStr">
        <is>
          <t>Under Investigation</t>
        </is>
      </c>
    </row>
    <row r="30">
      <c r="A30" s="4" t="inlineStr">
        <is>
          <t>INC100154</t>
        </is>
      </c>
      <c r="B30" s="4" t="inlineStr">
        <is>
          <t>Software installation blocked on endpoint</t>
        </is>
      </c>
      <c r="C30" s="4" t="inlineStr">
        <is>
          <t>Software</t>
        </is>
      </c>
      <c r="D30" s="4" t="inlineStr">
        <is>
          <t>Windows</t>
        </is>
      </c>
      <c r="E30" s="4" t="inlineStr">
        <is>
          <t>Medium</t>
        </is>
      </c>
      <c r="F30" s="11" t="n">
        <v>46072.11458333334</v>
      </c>
      <c r="G30" s="4" t="inlineStr">
        <is>
          <t>L2 Endpoint Engineering</t>
        </is>
      </c>
      <c r="H30" s="4" t="inlineStr">
        <is>
          <t>Repeated recurrence after initial fix</t>
        </is>
      </c>
      <c r="I30" s="4" t="inlineStr">
        <is>
          <t>Multiple failed authentication attempts affecting productivity</t>
        </is>
      </c>
      <c r="J30" s="4" t="inlineStr">
        <is>
          <t>L1 checks completed; shared logs, user impact, and troubleshooting history with L2 Endpoint Engineering.</t>
        </is>
      </c>
      <c r="K30" s="4" t="inlineStr">
        <is>
          <t>Resolved by L2</t>
        </is>
      </c>
    </row>
    <row r="31">
      <c r="A31" s="4" t="inlineStr">
        <is>
          <t>INC100163</t>
        </is>
      </c>
      <c r="B31" s="4" t="inlineStr">
        <is>
          <t>SharePoint file sync failing on laptop</t>
        </is>
      </c>
      <c r="C31" s="4" t="inlineStr">
        <is>
          <t>Software</t>
        </is>
      </c>
      <c r="D31" s="4" t="inlineStr">
        <is>
          <t>SharePoint</t>
        </is>
      </c>
      <c r="E31" s="4" t="inlineStr">
        <is>
          <t>Low</t>
        </is>
      </c>
      <c r="F31" s="11" t="n">
        <v>46040.25</v>
      </c>
      <c r="G31" s="4" t="inlineStr">
        <is>
          <t>L2 Collaboration Team</t>
        </is>
      </c>
      <c r="H31" s="4" t="inlineStr">
        <is>
          <t>Policy / configuration change required</t>
        </is>
      </c>
      <c r="I31" s="4" t="inlineStr">
        <is>
          <t>Access blocked for payroll / finance processing</t>
        </is>
      </c>
      <c r="J31" s="4" t="inlineStr">
        <is>
          <t>L1 checks completed; shared logs, user impact, and troubleshooting history with L2 Collaboration Team.</t>
        </is>
      </c>
      <c r="K31" s="4" t="inlineStr">
        <is>
          <t>Awaiting Vendor</t>
        </is>
      </c>
    </row>
    <row r="32">
      <c r="A32" s="4" t="inlineStr">
        <is>
          <t>INC100166</t>
        </is>
      </c>
      <c r="B32" s="4" t="inlineStr">
        <is>
          <t>Teams login failure after password change</t>
        </is>
      </c>
      <c r="C32" s="4" t="inlineStr">
        <is>
          <t>Software</t>
        </is>
      </c>
      <c r="D32" s="4" t="inlineStr">
        <is>
          <t>Microsoft Teams</t>
        </is>
      </c>
      <c r="E32" s="4" t="inlineStr">
        <is>
          <t>Medium</t>
        </is>
      </c>
      <c r="F32" s="11" t="n">
        <v>46044.32291666666</v>
      </c>
      <c r="G32" s="4" t="inlineStr">
        <is>
          <t>L2 Workplace Support</t>
        </is>
      </c>
      <c r="H32" s="4" t="inlineStr">
        <is>
          <t>Issue exceeded L1 troubleshooting scope</t>
        </is>
      </c>
      <c r="I32" s="4" t="inlineStr">
        <is>
          <t>Access blocked for payroll / finance processing</t>
        </is>
      </c>
      <c r="J32" s="4" t="inlineStr">
        <is>
          <t>L1 checks completed; shared logs, user impact, and troubleshooting history with L2 Workplace Support.</t>
        </is>
      </c>
      <c r="K32" s="4" t="inlineStr">
        <is>
          <t>Under Investigation</t>
        </is>
      </c>
    </row>
    <row r="33">
      <c r="A33" s="4" t="inlineStr">
        <is>
          <t>INC100168</t>
        </is>
      </c>
      <c r="B33" s="4" t="inlineStr">
        <is>
          <t>Device marked non-compliant in management portal</t>
        </is>
      </c>
      <c r="C33" s="4" t="inlineStr">
        <is>
          <t>Compliance</t>
        </is>
      </c>
      <c r="D33" s="4" t="inlineStr">
        <is>
          <t>Intune</t>
        </is>
      </c>
      <c r="E33" s="4" t="inlineStr">
        <is>
          <t>Medium</t>
        </is>
      </c>
      <c r="F33" s="11" t="n">
        <v>46069.625</v>
      </c>
      <c r="G33" s="4" t="inlineStr">
        <is>
          <t>L2 Endpoint Engineering</t>
        </is>
      </c>
      <c r="H33" s="4" t="inlineStr">
        <is>
          <t>Compliance state not updating after standard sync</t>
        </is>
      </c>
      <c r="I33" s="4" t="inlineStr">
        <is>
          <t>Access blocked for payroll / finance processing</t>
        </is>
      </c>
      <c r="J33" s="4" t="inlineStr">
        <is>
          <t>L1 checks completed; shared logs, user impact, and troubleshooting history with L2 Endpoint Engineering.</t>
        </is>
      </c>
      <c r="K33" s="4" t="inlineStr">
        <is>
          <t>Under Investigation</t>
        </is>
      </c>
    </row>
    <row r="34">
      <c r="A34" s="4" t="inlineStr">
        <is>
          <t>INC100173</t>
        </is>
      </c>
      <c r="B34" s="4" t="inlineStr">
        <is>
          <t>Role-based access required for finance application</t>
        </is>
      </c>
      <c r="C34" s="4" t="inlineStr">
        <is>
          <t>Access</t>
        </is>
      </c>
      <c r="D34" s="4" t="inlineStr">
        <is>
          <t>Azure AD</t>
        </is>
      </c>
      <c r="E34" s="4" t="inlineStr">
        <is>
          <t>Medium</t>
        </is>
      </c>
      <c r="F34" s="11" t="n">
        <v>46086.15625</v>
      </c>
      <c r="G34" s="4" t="inlineStr">
        <is>
          <t>L2 IAM Engineering</t>
        </is>
      </c>
      <c r="H34" s="4" t="inlineStr">
        <is>
          <t>Compliance state not updating after standard sync</t>
        </is>
      </c>
      <c r="I34" s="4" t="inlineStr">
        <is>
          <t>User unable to work on business-critical application</t>
        </is>
      </c>
      <c r="J34" s="4" t="inlineStr">
        <is>
          <t>L1 checks completed; shared logs, user impact, and troubleshooting history with L2 IAM Engineering.</t>
        </is>
      </c>
      <c r="K34" s="4" t="inlineStr">
        <is>
          <t>Under Investigation</t>
        </is>
      </c>
    </row>
    <row r="35">
      <c r="A35" s="4" t="inlineStr">
        <is>
          <t>INC100185</t>
        </is>
      </c>
      <c r="B35" s="4" t="inlineStr">
        <is>
          <t>Printer not responding for shared queue</t>
        </is>
      </c>
      <c r="C35" s="4" t="inlineStr">
        <is>
          <t>Hardware</t>
        </is>
      </c>
      <c r="D35" s="4" t="inlineStr">
        <is>
          <t>Printer</t>
        </is>
      </c>
      <c r="E35" s="4" t="inlineStr">
        <is>
          <t>Low</t>
        </is>
      </c>
      <c r="F35" s="11" t="n">
        <v>46053.3125</v>
      </c>
      <c r="G35" s="4" t="inlineStr">
        <is>
          <t>L2 Field Support</t>
        </is>
      </c>
      <c r="H35" s="4" t="inlineStr">
        <is>
          <t>Issue exceeded L1 troubleshooting scope</t>
        </is>
      </c>
      <c r="I35" s="4" t="inlineStr">
        <is>
          <t>Remote employee unable to connect to corporate resources</t>
        </is>
      </c>
      <c r="J35" s="4" t="inlineStr">
        <is>
          <t>L1 checks completed; shared logs, user impact, and troubleshooting history with L2 Field Support.</t>
        </is>
      </c>
      <c r="K35" s="4" t="inlineStr">
        <is>
          <t>Assigned to L2</t>
        </is>
      </c>
    </row>
    <row r="36">
      <c r="A36" s="4" t="inlineStr">
        <is>
          <t>INC100188</t>
        </is>
      </c>
      <c r="B36" s="4" t="inlineStr">
        <is>
          <t>Printer not responding for shared queue</t>
        </is>
      </c>
      <c r="C36" s="4" t="inlineStr">
        <is>
          <t>Hardware</t>
        </is>
      </c>
      <c r="D36" s="4" t="inlineStr">
        <is>
          <t>Printer</t>
        </is>
      </c>
      <c r="E36" s="4" t="inlineStr">
        <is>
          <t>Low</t>
        </is>
      </c>
      <c r="F36" s="11" t="n">
        <v>46057.13541666666</v>
      </c>
      <c r="G36" s="4" t="inlineStr">
        <is>
          <t>L2 Field Support</t>
        </is>
      </c>
      <c r="H36" s="4" t="inlineStr">
        <is>
          <t>Requires backend platform review</t>
        </is>
      </c>
      <c r="I36" s="4" t="inlineStr">
        <is>
          <t>Potential security exposure due to compliance gap</t>
        </is>
      </c>
      <c r="J36" s="4" t="inlineStr">
        <is>
          <t>L1 checks completed; shared logs, user impact, and troubleshooting history with L2 Field Support.</t>
        </is>
      </c>
      <c r="K36" s="4" t="inlineStr">
        <is>
          <t>Resolved by L2</t>
        </is>
      </c>
    </row>
    <row r="37">
      <c r="A37" s="4" t="inlineStr">
        <is>
          <t>INC100189</t>
        </is>
      </c>
      <c r="B37" s="4" t="inlineStr">
        <is>
          <t>MFA push not received on mobile device</t>
        </is>
      </c>
      <c r="C37" s="4" t="inlineStr">
        <is>
          <t>Access</t>
        </is>
      </c>
      <c r="D37" s="4" t="inlineStr">
        <is>
          <t>Okta</t>
        </is>
      </c>
      <c r="E37" s="4" t="inlineStr">
        <is>
          <t>Medium</t>
        </is>
      </c>
      <c r="F37" s="11" t="n">
        <v>46067.25</v>
      </c>
      <c r="G37" s="4" t="inlineStr">
        <is>
          <t>L2 Identity Platform</t>
        </is>
      </c>
      <c r="H37" s="4" t="inlineStr">
        <is>
          <t>Access dependency pending higher-level approval</t>
        </is>
      </c>
      <c r="I37" s="4" t="inlineStr">
        <is>
          <t>Collaboration and document access interrupted</t>
        </is>
      </c>
      <c r="J37" s="4" t="inlineStr">
        <is>
          <t>L1 checks completed; shared logs, user impact, and troubleshooting history with L2 Identity Platform.</t>
        </is>
      </c>
      <c r="K37" s="4" t="inlineStr">
        <is>
          <t>Assigned to L2</t>
        </is>
      </c>
    </row>
    <row r="38">
      <c r="A38" s="4" t="inlineStr">
        <is>
          <t>INC100191</t>
        </is>
      </c>
      <c r="B38" s="4" t="inlineStr">
        <is>
          <t>Role-based access required for finance application</t>
        </is>
      </c>
      <c r="C38" s="4" t="inlineStr">
        <is>
          <t>Access</t>
        </is>
      </c>
      <c r="D38" s="4" t="inlineStr">
        <is>
          <t>Azure AD</t>
        </is>
      </c>
      <c r="E38" s="4" t="inlineStr">
        <is>
          <t>High</t>
        </is>
      </c>
      <c r="F38" s="11" t="n">
        <v>46072.65625</v>
      </c>
      <c r="G38" s="4" t="inlineStr">
        <is>
          <t>L2 IAM Engineering</t>
        </is>
      </c>
      <c r="H38" s="4" t="inlineStr">
        <is>
          <t>Access dependency pending higher-level approval</t>
        </is>
      </c>
      <c r="I38" s="4" t="inlineStr">
        <is>
          <t>User unable to work on business-critical application</t>
        </is>
      </c>
      <c r="J38" s="4" t="inlineStr">
        <is>
          <t>L1 checks completed; shared logs, user impact, and troubleshooting history with L2 IAM Engineering.</t>
        </is>
      </c>
      <c r="K38" s="4" t="inlineStr">
        <is>
          <t>Assigned to L2</t>
        </is>
      </c>
    </row>
    <row r="39">
      <c r="A39" s="4" t="inlineStr">
        <is>
          <t>INC100197</t>
        </is>
      </c>
      <c r="B39" s="4" t="inlineStr">
        <is>
          <t>Device marked non-compliant in management portal</t>
        </is>
      </c>
      <c r="C39" s="4" t="inlineStr">
        <is>
          <t>Compliance</t>
        </is>
      </c>
      <c r="D39" s="4" t="inlineStr">
        <is>
          <t>Intune</t>
        </is>
      </c>
      <c r="E39" s="4" t="inlineStr">
        <is>
          <t>High</t>
        </is>
      </c>
      <c r="F39" s="11" t="n">
        <v>46062.625</v>
      </c>
      <c r="G39" s="4" t="inlineStr">
        <is>
          <t>L2 Endpoint Engineering</t>
        </is>
      </c>
      <c r="H39" s="4" t="inlineStr">
        <is>
          <t>Compliance state not updating after standard sync</t>
        </is>
      </c>
      <c r="I39" s="4" t="inlineStr">
        <is>
          <t>User unable to work on business-critical application</t>
        </is>
      </c>
      <c r="J39" s="4" t="inlineStr">
        <is>
          <t>L1 checks completed; shared logs, user impact, and troubleshooting history with L2 Endpoint Engineering.</t>
        </is>
      </c>
      <c r="K39" s="4" t="inlineStr">
        <is>
          <t>Assigned to L2</t>
        </is>
      </c>
    </row>
  </sheetData>
  <autoFilter ref="A1:K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34" customWidth="1" min="4" max="4"/>
    <col width="58" customWidth="1" min="5" max="5"/>
    <col width="38" customWidth="1" min="6" max="6"/>
    <col width="38" customWidth="1" min="7" max="7"/>
    <col width="20" customWidth="1" min="8" max="8"/>
  </cols>
  <sheetData>
    <row r="1">
      <c r="A1" s="7" t="inlineStr">
        <is>
          <t>KB ID</t>
        </is>
      </c>
      <c r="B1" s="7" t="inlineStr">
        <is>
          <t>Issue Type</t>
        </is>
      </c>
      <c r="C1" s="7" t="inlineStr">
        <is>
          <t>Primary Tool</t>
        </is>
      </c>
      <c r="D1" s="7" t="inlineStr">
        <is>
          <t>Symptoms</t>
        </is>
      </c>
      <c r="E1" s="7" t="inlineStr">
        <is>
          <t>Troubleshooting Steps</t>
        </is>
      </c>
      <c r="F1" s="7" t="inlineStr">
        <is>
          <t>Standard Resolution</t>
        </is>
      </c>
      <c r="G1" s="7" t="inlineStr">
        <is>
          <t>Escalate When</t>
        </is>
      </c>
      <c r="H1" s="7" t="inlineStr">
        <is>
          <t>Article Owner</t>
        </is>
      </c>
    </row>
    <row r="2">
      <c r="A2" s="4" t="inlineStr">
        <is>
          <t>KB001</t>
        </is>
      </c>
      <c r="B2" s="4" t="inlineStr">
        <is>
          <t>Password Reset</t>
        </is>
      </c>
      <c r="C2" s="4" t="inlineStr">
        <is>
          <t>Active Directory</t>
        </is>
      </c>
      <c r="D2" s="4" t="inlineStr">
        <is>
          <t>User cannot sign in after password expiry</t>
        </is>
      </c>
      <c r="E2" s="4" t="inlineStr">
        <is>
          <t>Verify identity; unlock if needed; reset password; confirm new sign-in</t>
        </is>
      </c>
      <c r="F2" s="4" t="inlineStr">
        <is>
          <t>Reset password and document action in ticket</t>
        </is>
      </c>
      <c r="G2" s="4" t="inlineStr">
        <is>
          <t>Account still fails after verified reset</t>
        </is>
      </c>
      <c r="H2" s="4" t="inlineStr">
        <is>
          <t>L1 Service Desk</t>
        </is>
      </c>
    </row>
    <row r="3">
      <c r="A3" s="4" t="inlineStr">
        <is>
          <t>KB002</t>
        </is>
      </c>
      <c r="B3" s="4" t="inlineStr">
        <is>
          <t>Account Unlock</t>
        </is>
      </c>
      <c r="C3" s="4" t="inlineStr">
        <is>
          <t>Active Directory</t>
        </is>
      </c>
      <c r="D3" s="4" t="inlineStr">
        <is>
          <t>Multiple failed attempts trigger lockout</t>
        </is>
      </c>
      <c r="E3" s="4" t="inlineStr">
        <is>
          <t>Check lock status; verify user identity; unlock; advise on correct credentials</t>
        </is>
      </c>
      <c r="F3" s="4" t="inlineStr">
        <is>
          <t>Account unlocked and access restored</t>
        </is>
      </c>
      <c r="G3" s="4" t="inlineStr">
        <is>
          <t>Repeated lockouts suggest sync / brute-force issue</t>
        </is>
      </c>
      <c r="H3" s="4" t="inlineStr">
        <is>
          <t>L1 Service Desk</t>
        </is>
      </c>
    </row>
    <row r="4">
      <c r="A4" s="4" t="inlineStr">
        <is>
          <t>KB003</t>
        </is>
      </c>
      <c r="B4" s="4" t="inlineStr">
        <is>
          <t>VPN Access Failure</t>
        </is>
      </c>
      <c r="C4" s="4" t="inlineStr">
        <is>
          <t>VPN</t>
        </is>
      </c>
      <c r="D4" s="4" t="inlineStr">
        <is>
          <t>Remote user cannot connect to corporate network</t>
        </is>
      </c>
      <c r="E4" s="4" t="inlineStr">
        <is>
          <t>Verify internet; confirm VPN entitlement; refresh client profile; retry login</t>
        </is>
      </c>
      <c r="F4" s="4" t="inlineStr">
        <is>
          <t>VPN profile corrected and access restored</t>
        </is>
      </c>
      <c r="G4" s="4" t="inlineStr">
        <is>
          <t>Tunnel fails after profile reset</t>
        </is>
      </c>
      <c r="H4" s="4" t="inlineStr">
        <is>
          <t>L1 Service Desk</t>
        </is>
      </c>
    </row>
    <row r="5">
      <c r="A5" s="4" t="inlineStr">
        <is>
          <t>KB004</t>
        </is>
      </c>
      <c r="B5" s="4" t="inlineStr">
        <is>
          <t>Outlook Not Opening</t>
        </is>
      </c>
      <c r="C5" s="4" t="inlineStr">
        <is>
          <t>Microsoft Office</t>
        </is>
      </c>
      <c r="D5" s="4" t="inlineStr">
        <is>
          <t>Outlook crashes or hangs on launch</t>
        </is>
      </c>
      <c r="E5" s="4" t="inlineStr">
        <is>
          <t>Open in safe mode; disable add-ins; repair Office; recreate profile if needed</t>
        </is>
      </c>
      <c r="F5" s="4" t="inlineStr">
        <is>
          <t>Office repaired / add-ins isolated</t>
        </is>
      </c>
      <c r="G5" s="4" t="inlineStr">
        <is>
          <t>Mailbox corruption or persistent profile issue</t>
        </is>
      </c>
      <c r="H5" s="4" t="inlineStr">
        <is>
          <t>L1 Workplace Support</t>
        </is>
      </c>
    </row>
    <row r="6">
      <c r="A6" s="4" t="inlineStr">
        <is>
          <t>KB005</t>
        </is>
      </c>
      <c r="B6" s="4" t="inlineStr">
        <is>
          <t>Teams Login Failure</t>
        </is>
      </c>
      <c r="C6" s="4" t="inlineStr">
        <is>
          <t>Microsoft Teams</t>
        </is>
      </c>
      <c r="D6" s="4" t="inlineStr">
        <is>
          <t>User unable to sign in to Teams</t>
        </is>
      </c>
      <c r="E6" s="4" t="inlineStr">
        <is>
          <t>Confirm password works in browser; clear Teams cache; reauthenticate</t>
        </is>
      </c>
      <c r="F6" s="4" t="inlineStr">
        <is>
          <t>Teams cache reset and session restored</t>
        </is>
      </c>
      <c r="G6" s="4" t="inlineStr">
        <is>
          <t>SSO or tenant issue persists</t>
        </is>
      </c>
      <c r="H6" s="4" t="inlineStr">
        <is>
          <t>L1 Workplace Support</t>
        </is>
      </c>
    </row>
    <row r="7">
      <c r="A7" s="4" t="inlineStr">
        <is>
          <t>KB006</t>
        </is>
      </c>
      <c r="B7" s="4" t="inlineStr">
        <is>
          <t>MFA Push Not Received</t>
        </is>
      </c>
      <c r="C7" s="4" t="inlineStr">
        <is>
          <t>Okta</t>
        </is>
      </c>
      <c r="D7" s="4" t="inlineStr">
        <is>
          <t>User does not receive MFA challenge</t>
        </is>
      </c>
      <c r="E7" s="4" t="inlineStr">
        <is>
          <t>Check device enrollment; confirm internet; re-enroll factor</t>
        </is>
      </c>
      <c r="F7" s="4" t="inlineStr">
        <is>
          <t>MFA factor re-enrolled successfully</t>
        </is>
      </c>
      <c r="G7" s="4" t="inlineStr">
        <is>
          <t>Identity policy / device binding issue remains</t>
        </is>
      </c>
      <c r="H7" s="4" t="inlineStr">
        <is>
          <t>L1 IAM Support</t>
        </is>
      </c>
    </row>
    <row r="8">
      <c r="A8" s="4" t="inlineStr">
        <is>
          <t>KB007</t>
        </is>
      </c>
      <c r="B8" s="4" t="inlineStr">
        <is>
          <t>OTP Not Received</t>
        </is>
      </c>
      <c r="C8" s="4" t="inlineStr">
        <is>
          <t>Okta</t>
        </is>
      </c>
      <c r="D8" s="4" t="inlineStr">
        <is>
          <t>SMS or email OTP not delivered</t>
        </is>
      </c>
      <c r="E8" s="4" t="inlineStr">
        <is>
          <t>Validate registered factor details; resend challenge; update phone/email</t>
        </is>
      </c>
      <c r="F8" s="4" t="inlineStr">
        <is>
          <t>Correct factor updated and OTP received</t>
        </is>
      </c>
      <c r="G8" s="4" t="inlineStr">
        <is>
          <t>Downstream provider issue or policy block</t>
        </is>
      </c>
      <c r="H8" s="4" t="inlineStr">
        <is>
          <t>L1 IAM Support</t>
        </is>
      </c>
    </row>
    <row r="9">
      <c r="A9" s="4" t="inlineStr">
        <is>
          <t>KB008</t>
        </is>
      </c>
      <c r="B9" s="4" t="inlineStr">
        <is>
          <t>SharePoint Access Denied</t>
        </is>
      </c>
      <c r="C9" s="4" t="inlineStr">
        <is>
          <t>SharePoint</t>
        </is>
      </c>
      <c r="D9" s="4" t="inlineStr">
        <is>
          <t>Permission denied while opening team site</t>
        </is>
      </c>
      <c r="E9" s="4" t="inlineStr">
        <is>
          <t>Check site group membership; validate request approval; add correct permissions</t>
        </is>
      </c>
      <c r="F9" s="4" t="inlineStr">
        <is>
          <t>User added to approved SharePoint group</t>
        </is>
      </c>
      <c r="G9" s="4" t="inlineStr">
        <is>
          <t>Broken inheritance or advanced permission issue</t>
        </is>
      </c>
      <c r="H9" s="4" t="inlineStr">
        <is>
          <t>L1 Collaboration Support</t>
        </is>
      </c>
    </row>
    <row r="10">
      <c r="A10" s="4" t="inlineStr">
        <is>
          <t>KB009</t>
        </is>
      </c>
      <c r="B10" s="4" t="inlineStr">
        <is>
          <t>Software Installation Failed</t>
        </is>
      </c>
      <c r="C10" s="4" t="inlineStr">
        <is>
          <t>Windows</t>
        </is>
      </c>
      <c r="D10" s="4" t="inlineStr">
        <is>
          <t>Approved application fails to install</t>
        </is>
      </c>
      <c r="E10" s="4" t="inlineStr">
        <is>
          <t>Check endpoint compliance; verify package source; run with elevated rights</t>
        </is>
      </c>
      <c r="F10" s="4" t="inlineStr">
        <is>
          <t>Application installed via approved method</t>
        </is>
      </c>
      <c r="G10" s="4" t="inlineStr">
        <is>
          <t>Packaging defect or admin deployment required</t>
        </is>
      </c>
      <c r="H10" s="4" t="inlineStr">
        <is>
          <t>L1 Endpoint Support</t>
        </is>
      </c>
    </row>
    <row r="11">
      <c r="A11" s="4" t="inlineStr">
        <is>
          <t>KB010</t>
        </is>
      </c>
      <c r="B11" s="4" t="inlineStr">
        <is>
          <t>Slow System Performance</t>
        </is>
      </c>
      <c r="C11" s="4" t="inlineStr">
        <is>
          <t>Windows</t>
        </is>
      </c>
      <c r="D11" s="4" t="inlineStr">
        <is>
          <t>Laptop slow, delayed logon, high startup usage</t>
        </is>
      </c>
      <c r="E11" s="4" t="inlineStr">
        <is>
          <t>Review startup apps; clear temp files; restart; run health checks</t>
        </is>
      </c>
      <c r="F11" s="4" t="inlineStr">
        <is>
          <t>Performance improved after optimization</t>
        </is>
      </c>
      <c r="G11" s="4" t="inlineStr">
        <is>
          <t>Disk / memory / hardware fault suspected</t>
        </is>
      </c>
      <c r="H11" s="4" t="inlineStr">
        <is>
          <t>L1 Endpoint Support</t>
        </is>
      </c>
    </row>
    <row r="12">
      <c r="A12" s="4" t="inlineStr">
        <is>
          <t>KB011</t>
        </is>
      </c>
      <c r="B12" s="4" t="inlineStr">
        <is>
          <t>Printer Not Working</t>
        </is>
      </c>
      <c r="C12" s="4" t="inlineStr">
        <is>
          <t>Printer</t>
        </is>
      </c>
      <c r="D12" s="4" t="inlineStr">
        <is>
          <t>Shared printer offline or jobs stuck</t>
        </is>
      </c>
      <c r="E12" s="4" t="inlineStr">
        <is>
          <t>Restart spooler; re-add printer; update driver; test print</t>
        </is>
      </c>
      <c r="F12" s="4" t="inlineStr">
        <is>
          <t>Printer restored and queue cleared</t>
        </is>
      </c>
      <c r="G12" s="4" t="inlineStr">
        <is>
          <t>Network print server or hardware fault</t>
        </is>
      </c>
      <c r="H12" s="4" t="inlineStr">
        <is>
          <t>L1 Endpoint Support</t>
        </is>
      </c>
    </row>
    <row r="13">
      <c r="A13" s="4" t="inlineStr">
        <is>
          <t>KB012</t>
        </is>
      </c>
      <c r="B13" s="4" t="inlineStr">
        <is>
          <t>Mailbox Not Provisioned</t>
        </is>
      </c>
      <c r="C13" s="4" t="inlineStr">
        <is>
          <t>Azure AD</t>
        </is>
      </c>
      <c r="D13" s="4" t="inlineStr">
        <is>
          <t>User has login but mailbox unavailable</t>
        </is>
      </c>
      <c r="E13" s="4" t="inlineStr">
        <is>
          <t>Confirm license assignment; check sync status; retry after sync</t>
        </is>
      </c>
      <c r="F13" s="4" t="inlineStr">
        <is>
          <t>Mailbox enabled after license validation</t>
        </is>
      </c>
      <c r="G13" s="4" t="inlineStr">
        <is>
          <t>Exchange backend or license sync failure</t>
        </is>
      </c>
      <c r="H13" s="4" t="inlineStr">
        <is>
          <t>L1 IAM Support</t>
        </is>
      </c>
    </row>
    <row r="14">
      <c r="A14" s="4" t="inlineStr">
        <is>
          <t>KB013</t>
        </is>
      </c>
      <c r="B14" s="4" t="inlineStr">
        <is>
          <t>OneDrive / SharePoint Sync Issue</t>
        </is>
      </c>
      <c r="C14" s="4" t="inlineStr">
        <is>
          <t>SharePoint</t>
        </is>
      </c>
      <c r="D14" s="4" t="inlineStr">
        <is>
          <t>Files not syncing locally</t>
        </is>
      </c>
      <c r="E14" s="4" t="inlineStr">
        <is>
          <t>Pause/resume sync; relink library; clear cache; check storage</t>
        </is>
      </c>
      <c r="F14" s="4" t="inlineStr">
        <is>
          <t>Sync client reset and re-linked</t>
        </is>
      </c>
      <c r="G14" s="4" t="inlineStr">
        <is>
          <t>Library corruption or tenant issue</t>
        </is>
      </c>
      <c r="H14" s="4" t="inlineStr">
        <is>
          <t>L1 Collaboration Support</t>
        </is>
      </c>
    </row>
    <row r="15">
      <c r="A15" s="4" t="inlineStr">
        <is>
          <t>KB014</t>
        </is>
      </c>
      <c r="B15" s="4" t="inlineStr">
        <is>
          <t>Device Non-Compliant</t>
        </is>
      </c>
      <c r="C15" s="4" t="inlineStr">
        <is>
          <t>Intune</t>
        </is>
      </c>
      <c r="D15" s="4" t="inlineStr">
        <is>
          <t>Device shows non-compliant in management portal</t>
        </is>
      </c>
      <c r="E15" s="4" t="inlineStr">
        <is>
          <t>Review compliance policy state; trigger sync; confirm encryption and AV status</t>
        </is>
      </c>
      <c r="F15" s="4" t="inlineStr">
        <is>
          <t>Device synced and compliance restored</t>
        </is>
      </c>
      <c r="G15" s="4" t="inlineStr">
        <is>
          <t>Policy conflict or stale device object</t>
        </is>
      </c>
      <c r="H15" s="4" t="inlineStr">
        <is>
          <t>L1 Endpoint Support</t>
        </is>
      </c>
    </row>
    <row r="16">
      <c r="A16" s="4" t="inlineStr">
        <is>
          <t>KB015</t>
        </is>
      </c>
      <c r="B16" s="4" t="inlineStr">
        <is>
          <t>Antivirus Disabled</t>
        </is>
      </c>
      <c r="C16" s="4" t="inlineStr">
        <is>
          <t>Intune</t>
        </is>
      </c>
      <c r="D16" s="4" t="inlineStr">
        <is>
          <t>Security warning for disabled protection</t>
        </is>
      </c>
      <c r="E16" s="4" t="inlineStr">
        <is>
          <t>Restart protection service; update definitions; rerun compliance check</t>
        </is>
      </c>
      <c r="F16" s="4" t="inlineStr">
        <is>
          <t>Protection restored and warning cleared</t>
        </is>
      </c>
      <c r="G16" s="4" t="inlineStr">
        <is>
          <t>Endpoint security product unhealthy</t>
        </is>
      </c>
      <c r="H16" s="4" t="inlineStr">
        <is>
          <t>L1 Endpoint Support</t>
        </is>
      </c>
    </row>
    <row r="17">
      <c r="A17" s="4" t="inlineStr">
        <is>
          <t>KB016</t>
        </is>
      </c>
      <c r="B17" s="4" t="inlineStr">
        <is>
          <t>OS Outdated</t>
        </is>
      </c>
      <c r="C17" s="4" t="inlineStr">
        <is>
          <t>Intune</t>
        </is>
      </c>
      <c r="D17" s="4" t="inlineStr">
        <is>
          <t>Device missing required critical patches</t>
        </is>
      </c>
      <c r="E17" s="4" t="inlineStr">
        <is>
          <t>Check update ring; trigger sync; install pending updates</t>
        </is>
      </c>
      <c r="F17" s="4" t="inlineStr">
        <is>
          <t>Patches installed and device compliant</t>
        </is>
      </c>
      <c r="G17" s="4" t="inlineStr">
        <is>
          <t>Patch failure / update service error persists</t>
        </is>
      </c>
      <c r="H17" s="4" t="inlineStr">
        <is>
          <t>L1 Endpoint Support</t>
        </is>
      </c>
    </row>
    <row r="18">
      <c r="A18" s="4" t="inlineStr">
        <is>
          <t>KB017</t>
        </is>
      </c>
      <c r="B18" s="4" t="inlineStr">
        <is>
          <t>New User Creation</t>
        </is>
      </c>
      <c r="C18" s="4" t="inlineStr">
        <is>
          <t>Azure AD</t>
        </is>
      </c>
      <c r="D18" s="4" t="inlineStr">
        <is>
          <t>New joiner needs baseline access</t>
        </is>
      </c>
      <c r="E18" s="4" t="inlineStr">
        <is>
          <t>Create account; set temporary password; assign default groups; verify sign-in</t>
        </is>
      </c>
      <c r="F18" s="4" t="inlineStr">
        <is>
          <t>User account created and ready for onboarding</t>
        </is>
      </c>
      <c r="G18" s="4" t="inlineStr">
        <is>
          <t>Approval missing or license / role conflict</t>
        </is>
      </c>
      <c r="H18" s="4" t="inlineStr">
        <is>
          <t>L1 IAM Support</t>
        </is>
      </c>
    </row>
    <row r="19">
      <c r="A19" s="4" t="inlineStr">
        <is>
          <t>KB018</t>
        </is>
      </c>
      <c r="B19" s="4" t="inlineStr">
        <is>
          <t>Role Assignment</t>
        </is>
      </c>
      <c r="C19" s="4" t="inlineStr">
        <is>
          <t>Azure AD</t>
        </is>
      </c>
      <c r="D19" s="4" t="inlineStr">
        <is>
          <t>User lacks access to role-based application</t>
        </is>
      </c>
      <c r="E19" s="4" t="inlineStr">
        <is>
          <t>Validate approved role; assign role / group; test access</t>
        </is>
      </c>
      <c r="F19" s="4" t="inlineStr">
        <is>
          <t>Role assigned and access confirmed</t>
        </is>
      </c>
      <c r="G19" s="4" t="inlineStr">
        <is>
          <t>Requires admin consent or advanced group mapping</t>
        </is>
      </c>
      <c r="H19" s="4" t="inlineStr">
        <is>
          <t>L1 IAM Support</t>
        </is>
      </c>
    </row>
    <row r="20">
      <c r="A20" s="4" t="inlineStr">
        <is>
          <t>KB019</t>
        </is>
      </c>
      <c r="B20" s="4" t="inlineStr">
        <is>
          <t>Offboarding Disablement</t>
        </is>
      </c>
      <c r="C20" s="4" t="inlineStr">
        <is>
          <t>Active Directory</t>
        </is>
      </c>
      <c r="D20" s="4" t="inlineStr">
        <is>
          <t>Employee exit requires immediate access removal</t>
        </is>
      </c>
      <c r="E20" s="4" t="inlineStr">
        <is>
          <t>Disable account; revoke sessions; remove group access; document completion</t>
        </is>
      </c>
      <c r="F20" s="4" t="inlineStr">
        <is>
          <t>Account disabled per offboarding checklist</t>
        </is>
      </c>
      <c r="G20" s="4" t="inlineStr">
        <is>
          <t>Linked systems require downstream admin action</t>
        </is>
      </c>
      <c r="H20" s="4" t="inlineStr">
        <is>
          <t>L1 IAM Support</t>
        </is>
      </c>
    </row>
    <row r="21">
      <c r="A21" s="4" t="inlineStr">
        <is>
          <t>KB020</t>
        </is>
      </c>
      <c r="B21" s="4" t="inlineStr">
        <is>
          <t>Teams Meeting Issue</t>
        </is>
      </c>
      <c r="C21" s="4" t="inlineStr">
        <is>
          <t>Microsoft Teams</t>
        </is>
      </c>
      <c r="D21" s="4" t="inlineStr">
        <is>
          <t>Unable to join or use audio/video in Teams</t>
        </is>
      </c>
      <c r="E21" s="4" t="inlineStr">
        <is>
          <t>Check device permissions; test speakers/mic; clear cache; restart app</t>
        </is>
      </c>
      <c r="F21" s="4" t="inlineStr">
        <is>
          <t>Teams meeting access restored</t>
        </is>
      </c>
      <c r="G21" s="4" t="inlineStr">
        <is>
          <t>Persistent driver or tenant issue</t>
        </is>
      </c>
      <c r="H21" s="4" t="inlineStr">
        <is>
          <t>L1 Workplace Support</t>
        </is>
      </c>
    </row>
    <row r="22">
      <c r="A22" s="4" t="inlineStr">
        <is>
          <t>KB021</t>
        </is>
      </c>
      <c r="B22" s="4" t="inlineStr">
        <is>
          <t>SharePoint Permission Review</t>
        </is>
      </c>
      <c r="C22" s="4" t="inlineStr">
        <is>
          <t>SharePoint</t>
        </is>
      </c>
      <c r="D22" s="4" t="inlineStr">
        <is>
          <t>User sees limited library folders</t>
        </is>
      </c>
      <c r="E22" s="4" t="inlineStr">
        <is>
          <t>Check inherited permissions; verify group mapping; validate library-level access</t>
        </is>
      </c>
      <c r="F22" s="4" t="inlineStr">
        <is>
          <t>Permission alignment completed</t>
        </is>
      </c>
      <c r="G22" s="4" t="inlineStr">
        <is>
          <t>Complex inheritance / owner approval required</t>
        </is>
      </c>
      <c r="H22" s="4" t="inlineStr">
        <is>
          <t>L1 Collaboration Support</t>
        </is>
      </c>
    </row>
    <row r="23">
      <c r="A23" s="4" t="inlineStr">
        <is>
          <t>KB022</t>
        </is>
      </c>
      <c r="B23" s="4" t="inlineStr">
        <is>
          <t>Account Lock Recurrence</t>
        </is>
      </c>
      <c r="C23" s="4" t="inlineStr">
        <is>
          <t>Active Directory</t>
        </is>
      </c>
      <c r="D23" s="4" t="inlineStr">
        <is>
          <t>User repeatedly locks out after password change</t>
        </is>
      </c>
      <c r="E23" s="4" t="inlineStr">
        <is>
          <t>Check cached credentials on mobile / apps; sign out stale sessions</t>
        </is>
      </c>
      <c r="F23" s="4" t="inlineStr">
        <is>
          <t>Stale sessions removed and issue stabilized</t>
        </is>
      </c>
      <c r="G23" s="4" t="inlineStr">
        <is>
          <t>Unknown source continues auth attempts</t>
        </is>
      </c>
      <c r="H23" s="4" t="inlineStr">
        <is>
          <t>L1 Service Desk</t>
        </is>
      </c>
    </row>
  </sheetData>
  <autoFilter ref="A1:H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4" max="4"/>
    <col width="12" customWidth="1" min="5" max="5"/>
    <col width="16" customWidth="1" min="7" max="7"/>
    <col width="12" customWidth="1" min="8" max="8"/>
    <col width="2" customWidth="1" min="14" max="14"/>
  </cols>
  <sheetData>
    <row r="1">
      <c r="A1" s="1" t="inlineStr">
        <is>
          <t>Service Desk KPI Dashboard</t>
        </is>
      </c>
    </row>
    <row r="2"/>
    <row r="3">
      <c r="A3" s="3" t="inlineStr">
        <is>
          <t>Total Tickets</t>
        </is>
      </c>
      <c r="B3" s="12">
        <f>COUNTA(Tickets!A:A)-1</f>
        <v/>
      </c>
      <c r="D3" s="13" t="inlineStr">
        <is>
          <t>Priority Mix</t>
        </is>
      </c>
      <c r="G3" s="13" t="inlineStr">
        <is>
          <t>Status Mix</t>
        </is>
      </c>
    </row>
    <row r="4">
      <c r="A4" s="14" t="inlineStr">
        <is>
          <t>Resolved / Closed Tickets</t>
        </is>
      </c>
      <c r="B4" s="12">
        <f>COUNTIF(Tickets!O:O,"Resolved")+COUNTIF(Tickets!O:O,"Closed")</f>
        <v/>
      </c>
      <c r="D4" s="15" t="inlineStr">
        <is>
          <t>High</t>
        </is>
      </c>
      <c r="E4" s="16">
        <f>COUNTIF(Tickets!L:L,"High")</f>
        <v/>
      </c>
      <c r="G4" s="15" t="inlineStr">
        <is>
          <t>Resolved</t>
        </is>
      </c>
      <c r="H4" s="16">
        <f>COUNTIF(Tickets!O:O,"Resolved")</f>
        <v/>
      </c>
    </row>
    <row r="5">
      <c r="A5" s="3" t="inlineStr">
        <is>
          <t>Open / In Progress Tickets</t>
        </is>
      </c>
      <c r="B5" s="12">
        <f>COUNTIF(Tickets!O:O,"Open")+COUNTIF(Tickets!O:O,"In Progress")</f>
        <v/>
      </c>
      <c r="D5" s="15" t="inlineStr">
        <is>
          <t>Medium</t>
        </is>
      </c>
      <c r="E5" s="16">
        <f>COUNTIF(Tickets!L:L,"Medium")</f>
        <v/>
      </c>
      <c r="G5" s="15" t="inlineStr">
        <is>
          <t>Closed</t>
        </is>
      </c>
      <c r="H5" s="16">
        <f>COUNTIF(Tickets!O:O,"Closed")</f>
        <v/>
      </c>
    </row>
    <row r="6">
      <c r="A6" s="14" t="inlineStr">
        <is>
          <t>Escalated Tickets</t>
        </is>
      </c>
      <c r="B6" s="12">
        <f>COUNTIF(Tickets!N:N,"Yes")</f>
        <v/>
      </c>
      <c r="D6" s="15" t="inlineStr">
        <is>
          <t>Low</t>
        </is>
      </c>
      <c r="E6" s="16">
        <f>COUNTIF(Tickets!L:L,"Low")</f>
        <v/>
      </c>
      <c r="G6" s="15" t="inlineStr">
        <is>
          <t>Open</t>
        </is>
      </c>
      <c r="H6" s="16">
        <f>COUNTIF(Tickets!O:O,"Open")</f>
        <v/>
      </c>
    </row>
    <row r="7">
      <c r="A7" s="3" t="inlineStr">
        <is>
          <t>Tickets Within SLA</t>
        </is>
      </c>
      <c r="B7" s="12">
        <f>COUNTIF(Tickets!S:S,"Yes")</f>
        <v/>
      </c>
      <c r="G7" s="15" t="inlineStr">
        <is>
          <t>In Progress</t>
        </is>
      </c>
      <c r="H7" s="16">
        <f>COUNTIF(Tickets!O:O,"In Progress")</f>
        <v/>
      </c>
    </row>
    <row r="8">
      <c r="A8" s="14" t="inlineStr">
        <is>
          <t>SLA Compliance %</t>
        </is>
      </c>
      <c r="B8" s="17">
        <f>IF(B6=0,0,B7/B3)</f>
        <v/>
      </c>
      <c r="D8" s="13" t="inlineStr">
        <is>
          <t>Category Mix</t>
        </is>
      </c>
    </row>
    <row r="9">
      <c r="A9" s="3" t="inlineStr">
        <is>
          <t>First Contact Resolution %</t>
        </is>
      </c>
      <c r="B9" s="17">
        <f>IF(B3=0,0,COUNTIF(Tickets!V:V,"Yes")/B3)</f>
        <v/>
      </c>
      <c r="D9" s="15" t="inlineStr">
        <is>
          <t>Login</t>
        </is>
      </c>
      <c r="E9" s="16">
        <f>COUNTIF(Tickets!I:I,"Login")</f>
        <v/>
      </c>
    </row>
    <row r="10">
      <c r="A10" s="14" t="inlineStr">
        <is>
          <t>Average Response Time (hrs)</t>
        </is>
      </c>
      <c r="B10" s="18">
        <f>AVERAGE(Tickets!P:P)</f>
        <v/>
      </c>
      <c r="D10" s="15" t="inlineStr">
        <is>
          <t>Access</t>
        </is>
      </c>
      <c r="E10" s="16">
        <f>COUNTIF(Tickets!I:I,"Access")</f>
        <v/>
      </c>
    </row>
    <row r="11">
      <c r="A11" s="3" t="inlineStr">
        <is>
          <t>Average Resolution Time (hrs)</t>
        </is>
      </c>
      <c r="B11" s="18">
        <f>AVERAGE(Tickets!Q:Q)</f>
        <v/>
      </c>
      <c r="D11" s="15" t="inlineStr">
        <is>
          <t>Software</t>
        </is>
      </c>
      <c r="E11" s="16">
        <f>COUNTIF(Tickets!I:I,"Software")</f>
        <v/>
      </c>
    </row>
    <row r="12">
      <c r="D12" s="15" t="inlineStr">
        <is>
          <t>Hardware</t>
        </is>
      </c>
      <c r="E12" s="16">
        <f>COUNTIF(Tickets!I:I,"Hardware")</f>
        <v/>
      </c>
    </row>
    <row r="13">
      <c r="D13" s="15" t="inlineStr">
        <is>
          <t>Compliance</t>
        </is>
      </c>
      <c r="E13" s="16">
        <f>COUNTIF(Tickets!I:I,"Compliance")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2026-04-17T04:05:46Z</dcterms:created>
  <dcterms:modified xmlns:dcterms="http://purl.org/dc/terms/" xmlns:xsi="http://www.w3.org/2001/XMLSchema-instance" xsi:type="dcterms:W3CDTF">2026-04-17T04:05:46Z</dcterms:modified>
</cp:coreProperties>
</file>